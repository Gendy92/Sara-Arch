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Free lance\Sara\New App - Sara\"/>
    </mc:Choice>
  </mc:AlternateContent>
  <xr:revisionPtr revIDLastSave="0" documentId="13_ncr:1_{A4C7D7AA-E2FA-4523-995B-8C7D7F5EC42E}" xr6:coauthVersionLast="47" xr6:coauthVersionMax="47" xr10:uidLastSave="{00000000-0000-0000-0000-000000000000}"/>
  <bookViews>
    <workbookView xWindow="-108" yWindow="-108" windowWidth="23256" windowHeight="12456" activeTab="2" xr2:uid="{3EA7EC67-EB00-450E-AA75-F0005FE37B45}"/>
  </bookViews>
  <sheets>
    <sheet name="Raw Data" sheetId="1" r:id="rId1"/>
    <sheet name="العملاء و المشاريع" sheetId="23" r:id="rId2"/>
    <sheet name="الاقسام والبنود" sheetId="24" r:id="rId3"/>
  </sheets>
  <definedNames>
    <definedName name="_xlnm._FilterDatabase" localSheetId="0" hidden="1">'Raw Data'!$A$1:$I$740</definedName>
  </definedNames>
  <calcPr calcId="191029"/>
  <pivotCaches>
    <pivotCache cacheId="2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1" i="1" l="1"/>
  <c r="H596" i="1"/>
  <c r="H667" i="1"/>
</calcChain>
</file>

<file path=xl/sharedStrings.xml><?xml version="1.0" encoding="utf-8"?>
<sst xmlns="http://schemas.openxmlformats.org/spreadsheetml/2006/main" count="4579" uniqueCount="764">
  <si>
    <t>تاريخ</t>
  </si>
  <si>
    <t>منصرف</t>
  </si>
  <si>
    <t>وارد</t>
  </si>
  <si>
    <t>وارد بيد أ- عبير</t>
  </si>
  <si>
    <t>بيد د احمد سلامة</t>
  </si>
  <si>
    <t xml:space="preserve">لزوم ثمن بيع  حديد الشبابيك و الابواب البانيو الزهر بيد عم عصام </t>
  </si>
  <si>
    <t xml:space="preserve">لزوم ثمن بيع الأبواب الصاج </t>
  </si>
  <si>
    <t xml:space="preserve">لزوم بيع الخشب </t>
  </si>
  <si>
    <t>تحويل من د احمد سلامة</t>
  </si>
  <si>
    <t xml:space="preserve">لزوم مرتجع فاتورة سباكة من الطاحونة </t>
  </si>
  <si>
    <t>ايرادات</t>
  </si>
  <si>
    <t>لزوم رسم معماري D2 (مجانا )</t>
  </si>
  <si>
    <t xml:space="preserve">اعمال التصميم </t>
  </si>
  <si>
    <t>لزوم رسم معماري للسور 3D&amp; 2D (مجانا)</t>
  </si>
  <si>
    <t>لزوم رسم معماري للواجهه  (واجهة أمامية 10000 ج + واجهة جانبية 10000ج= 20000 )بخصم 50% 3D</t>
  </si>
  <si>
    <t>لزوم رسم معماري للجنينة (150 م * 160 ج = 24000ج) بخصم 50 % 3D</t>
  </si>
  <si>
    <t xml:space="preserve">واصل من  ثمن رخص حمام السباحة والاسانسير و غرف السطح ل م /احمد  حمدان </t>
  </si>
  <si>
    <t xml:space="preserve">واصل دفعة ثانية  من  ثمن رخص حمام السباحة والاسانسير و غرف السطح ل م /احمد  حمدان </t>
  </si>
  <si>
    <t>لزوم ثمن رسم معماري 3D انتيريور للدور الارضي ( مساحة135 م *150ج=20250ج)خصم 50%=10125</t>
  </si>
  <si>
    <t>لزوم ثمن ايجار لودر كبير 2 ساعة *500 لرفع الركش من المنطقة</t>
  </si>
  <si>
    <t>لزوم ثمن ايجار2 يومية لودر صغير لحفر السور</t>
  </si>
  <si>
    <t>لزوم 2 يومية عامل للحفر حاتب المواسير لزوم السور</t>
  </si>
  <si>
    <t>لزوم ثمن 7 طن اسمنت لزوم صب السور</t>
  </si>
  <si>
    <t>لزوم ثمن طن و200 كيلو حديد + 500 كيلو كانات لزوم السور</t>
  </si>
  <si>
    <t>لزوم اكرامية سواق مقطورة للحديد</t>
  </si>
  <si>
    <t>اكراميات</t>
  </si>
  <si>
    <t>لزوم ثمن المون ( رمل + سن)</t>
  </si>
  <si>
    <t>واصل دفعة اولى من حساب النجار</t>
  </si>
  <si>
    <t>لزوم ثمن سلك رباط لزوم حدادة السور</t>
  </si>
  <si>
    <t>لزوم ثمن 25 منر خرطوم 3/4 لزوم الصبة</t>
  </si>
  <si>
    <t>لزوم اكراميات عمال الخلاطات</t>
  </si>
  <si>
    <t xml:space="preserve">لزوم ثمن فاتورة صحي من الطاحونة لزوم تركيب عداد مياة </t>
  </si>
  <si>
    <t>لزوم ثمن طن اسمنت  بالنقل</t>
  </si>
  <si>
    <t>لزوم اكرامية الخلاط</t>
  </si>
  <si>
    <t>لزوم ثمن مون ( رمل و زلط)</t>
  </si>
  <si>
    <t>واصل دفعة ثانية من حساب النجار</t>
  </si>
  <si>
    <t>لزوم ثمن برميل عزل ساخن بالنقل</t>
  </si>
  <si>
    <t xml:space="preserve">لزوم مصنعية العزل </t>
  </si>
  <si>
    <t xml:space="preserve">لزوم حساب فتحة كور السلم و الاسانسير في 3 ادوار والنظافة في الدور الثاني والثال وفتح الأبواب للدور الأرضي والاسانسير و الشبابيك في 3 ادوار </t>
  </si>
  <si>
    <t xml:space="preserve">لزوم ثمن ايجار لودر للتنظيف والردم </t>
  </si>
  <si>
    <t xml:space="preserve">لزوم اجور عمال للتكسير و الردم  والنظافة </t>
  </si>
  <si>
    <t xml:space="preserve">لزوم يوميات بناء للشبابيك </t>
  </si>
  <si>
    <t xml:space="preserve">لزوم ثمن 2 ونص طن اسمنت </t>
  </si>
  <si>
    <t xml:space="preserve">لزوم ثمن دفعة اولى من حساب الطوب </t>
  </si>
  <si>
    <t xml:space="preserve">لزوم اول دفعة من فاتورة السباكة من الطاحونة </t>
  </si>
  <si>
    <t xml:space="preserve">لزوم ثمن 11.5 الف طوبة لزوم مباني قصية الردم داخلي السور </t>
  </si>
  <si>
    <t xml:space="preserve">لزوم ثمن نص طن اسمنت </t>
  </si>
  <si>
    <t xml:space="preserve">لزوم ثمن 4 متر رمل لزوم المباني </t>
  </si>
  <si>
    <t xml:space="preserve">لزوم مصنعية مباني قصية الردم و السور </t>
  </si>
  <si>
    <t xml:space="preserve">واصل اول دفعة من حساب السباك </t>
  </si>
  <si>
    <t>اعمال السباكة (م)</t>
  </si>
  <si>
    <t xml:space="preserve">لزوم ثاني دفعة من فاتورة السباكة من الطاحونة </t>
  </si>
  <si>
    <t>لزوم ثمن فاتورة لزوم  عزل قصية الردم والسور</t>
  </si>
  <si>
    <t xml:space="preserve">لزوم ثمن 4 متر رمل لزوم السباكة </t>
  </si>
  <si>
    <t xml:space="preserve">لزوم ثمن طن اسمنت لزوم السباكة </t>
  </si>
  <si>
    <t xml:space="preserve">واصل 3 يومية عمال للتشوينات </t>
  </si>
  <si>
    <t xml:space="preserve">واصل ثاني  دفعة من حساب السباك </t>
  </si>
  <si>
    <t>لزوم ثمن باب اوضة مخزن الخامات</t>
  </si>
  <si>
    <t xml:space="preserve">لزوم 2ثمن برميل عزل </t>
  </si>
  <si>
    <t>اعمال العزل</t>
  </si>
  <si>
    <t xml:space="preserve">لزوم مصنعية اعمال اعزل </t>
  </si>
  <si>
    <t xml:space="preserve">لزوم ثمن نقل العزل </t>
  </si>
  <si>
    <t xml:space="preserve">واصل ثالث  دفعة من حساب السباك </t>
  </si>
  <si>
    <t xml:space="preserve">لزوم ثمن 10 شكاير اسمن و 1000طوبة  لزوم غرفة الصرف </t>
  </si>
  <si>
    <t xml:space="preserve">لزوم ثمن 4025 طوبة </t>
  </si>
  <si>
    <t xml:space="preserve">لزوم 2 يومية بناء مساعد </t>
  </si>
  <si>
    <t xml:space="preserve">لزوم يومية 8 عامل لتكسير  داكت الصرف الصحي وكشف عرفة الصرف </t>
  </si>
  <si>
    <t xml:space="preserve">واصل رابع   دفعة من حساب السباك </t>
  </si>
  <si>
    <t xml:space="preserve">لزوم ثمن 364 متر احلال لزوم الردم </t>
  </si>
  <si>
    <t>لزوم يومية 3 لودر</t>
  </si>
  <si>
    <t xml:space="preserve">لزوم يومية 3 عامل لتنزيل ناتج الركش و متابغة الردم </t>
  </si>
  <si>
    <t xml:space="preserve">لزوم يومية 3 عامل لتكسير حوايط المطبخ و تنزيل ناتج الركش </t>
  </si>
  <si>
    <t xml:space="preserve">لزوم ثمن دفعة اولى من حساب 15 الف طوبة لزوم اعمال المباني الداخلية و الدروة </t>
  </si>
  <si>
    <t xml:space="preserve">لزوم ثمن 5 متر رمل لاعمال المباني </t>
  </si>
  <si>
    <t xml:space="preserve">لزوم يومية الونش لتشوين 9 الاف طوبة  و20 طن اسمنت و 45 متر رمل لاعمال المحارة والمباني </t>
  </si>
  <si>
    <t xml:space="preserve">لزوم ثمن 20 طن اسمنت لاعمال المحارة </t>
  </si>
  <si>
    <t>لزوم ثمن طن اسمنت لاعمال المباني</t>
  </si>
  <si>
    <t xml:space="preserve">لزوم ثمن 50متر رمل لزوم اعمال المحارة </t>
  </si>
  <si>
    <t xml:space="preserve">لزوم ثمن كرتونة سلك فيبر و 75 زاوية فليسبيكو لزوم اعمال المحارة بالنقل </t>
  </si>
  <si>
    <t xml:space="preserve">لزوم ثمن 2 شيكارة بلانكو خشن لزوم المحارة </t>
  </si>
  <si>
    <t xml:space="preserve">لزوم ثمن دفعة ثانية من ثمن الطوب عدد 25 الف طوبة للمباني </t>
  </si>
  <si>
    <t xml:space="preserve">دفعة اولى من مصنعية المباني </t>
  </si>
  <si>
    <t xml:space="preserve">لزوم ثمن دفعة ثالثة  من ثمن الطوب بأجمالي 38 الف طوبة  </t>
  </si>
  <si>
    <t xml:space="preserve">لزوم ثمن 4 طن اسمنت ل اعمال المباني </t>
  </si>
  <si>
    <t xml:space="preserve">لزوم ثمن عربية رمل 5 متر </t>
  </si>
  <si>
    <t xml:space="preserve">لزوم يومية عامل تكسير </t>
  </si>
  <si>
    <t xml:space="preserve">باقي ثمن الطوب باجمالي 38 الف طوبة </t>
  </si>
  <si>
    <t xml:space="preserve">دفعة ثانية من مصنعية المباني ل 38 الف طوبة </t>
  </si>
  <si>
    <t>لزوم يومية 3 عمال مباني مرمات داخل الشقق</t>
  </si>
  <si>
    <t xml:space="preserve">لزوم ثمن 7 عتبة لزوم اعمال المباني </t>
  </si>
  <si>
    <t xml:space="preserve">لزوم ثمن ايجار دكاك لزوم دك ارضية الدور الاول </t>
  </si>
  <si>
    <t xml:space="preserve">لزوم يومية 2 عامل لتشوين 2500 طوبة للسباك لتقفيل صناديق الدفن و بناء الدكت </t>
  </si>
  <si>
    <t xml:space="preserve">واصل خامس دفعة من حساب السباك </t>
  </si>
  <si>
    <t xml:space="preserve">واصل اول دفعة من مصنعية الكهربائي </t>
  </si>
  <si>
    <t>اعمال الكهرباء(م)</t>
  </si>
  <si>
    <t xml:space="preserve">لزوم ثمن فاتورة حديد صبة ارضية الدور الاول 120 سيخ  10 لينيا حديد عز </t>
  </si>
  <si>
    <t>واصلاول دفعه من  فاتورة تأسيس علب الكهرباء  والليات والمواسير واللوح من اولاد فاضل</t>
  </si>
  <si>
    <t xml:space="preserve">لزوم ثمن 2 قفل للمحزن </t>
  </si>
  <si>
    <t>ازوم نقل مستلزمات الكهرباء و تشوينها</t>
  </si>
  <si>
    <t xml:space="preserve">لزوم ثمن 4 كيلو سلك رباط حدادة لزوم صبة الارضية </t>
  </si>
  <si>
    <t xml:space="preserve">لزوم ثمن 160 متر مشمع لزوم صب الارضية </t>
  </si>
  <si>
    <t xml:space="preserve">لزوم ثمن حدادة صب الارضية </t>
  </si>
  <si>
    <t xml:space="preserve">لزوم اكرامية خلاط صب الارضية </t>
  </si>
  <si>
    <t xml:space="preserve">واصل مصنعية صب الارضية بالخلاطة </t>
  </si>
  <si>
    <t>لزوم يومية 2 عامل لنزيل ركش تكسير الكهرباء</t>
  </si>
  <si>
    <t xml:space="preserve">لزوم مصنعية بناء داكت الصرف الخارجي </t>
  </si>
  <si>
    <t xml:space="preserve">واصل سادس دفعة من حساب السباك </t>
  </si>
  <si>
    <t xml:space="preserve">لزوم ثمن 8 طن اسمنت لزوم صبة الارضية </t>
  </si>
  <si>
    <t xml:space="preserve">لزوم ثمن مون صب الارضية 20 متر سن و 12 رمل </t>
  </si>
  <si>
    <t xml:space="preserve">واصل ثاني دفعة من مصنعية الكهربائي </t>
  </si>
  <si>
    <t xml:space="preserve">واصل دفعة اولى من حساب حديد السور والابواب </t>
  </si>
  <si>
    <t xml:space="preserve">لزوم ثمن فاتورة مسامير و فيشر لزوم اعمال الكهرباء </t>
  </si>
  <si>
    <t>لزوم ثمن اعمال تأسيس التكيفات الاول العلوي والثاني علوي</t>
  </si>
  <si>
    <t>اعمال التكيفات</t>
  </si>
  <si>
    <t xml:space="preserve">لزوم ثمن 3500طوبة لمباني الدور الاول </t>
  </si>
  <si>
    <t>لزوم ثمن 4 عتبة لزوم المباني بالتوصيل</t>
  </si>
  <si>
    <t xml:space="preserve">واصل من مصنعية البنا لزوم بناء حوائط الدور الارضي و تكملة السور </t>
  </si>
  <si>
    <t xml:space="preserve">واصل ثالث دفعة من مصنعية الكهربائي </t>
  </si>
  <si>
    <t>واصل  ثاني دفعة من  فاتورة تأسيس الكهرباء من اولاد فاضل</t>
  </si>
  <si>
    <t>واصل اول دفعة من مصنعية السباك لزوم تأسيس الدور الارضي وغرف الصرف</t>
  </si>
  <si>
    <t xml:space="preserve">لزوم   يومية10  عامل ويومية هلت ل حفر وتكسير غرف الصرف القديم +يومية 2 عامل لتعديل اماكن الغرف الجديدة وتكسير اماكن اشاير الاعمدة </t>
  </si>
  <si>
    <t xml:space="preserve">لزوم يومية 2 عامل لتنظيف الشقق بعد التكسير الكهرباء لزوم المحارة </t>
  </si>
  <si>
    <t xml:space="preserve">واصل رابع   دفعة من مصنعية الكهربائي </t>
  </si>
  <si>
    <t xml:space="preserve">واصل ثالث دفعه من حساب حديد السور و الابواب </t>
  </si>
  <si>
    <t xml:space="preserve">لزوم يومية ونش لتشوين 20 متر رمل و 4 طن اسمنت لزوم اعمال المحارة و الكهرباء </t>
  </si>
  <si>
    <t xml:space="preserve">لزوم ثمن فاتورة 9 اغطية غرف صرف بالنقل من الطاحونة </t>
  </si>
  <si>
    <t xml:space="preserve">لزوم ثمن خرطوم 20 متر لزوم توصيل مياة لاعمال المحارة والكهرباء </t>
  </si>
  <si>
    <t xml:space="preserve">لزوم ثمن 2 شكارة بلانكو خشن لزوم اعمال المحارة </t>
  </si>
  <si>
    <t>لزوم ثمن 2 بونطة للكهربائي +لزوم ثمن فاتورة اسطوانة 7سم للكهربائي</t>
  </si>
  <si>
    <t xml:space="preserve">لزوم ثمن فاتورة 4 طن اسمنت لزوم اعمال المحارة والكهرباء </t>
  </si>
  <si>
    <t xml:space="preserve">لزوم ثمن 20 م رمل لزوم اعمال المحارة والكهرباء </t>
  </si>
  <si>
    <t>واصل خامس دفعة من مصنعية تاسيس الكهرباء</t>
  </si>
  <si>
    <t xml:space="preserve">لزوم مصنعية صرف تكييف المطابخ </t>
  </si>
  <si>
    <t>واصل سادس دفعة من مصنعية تاسيس الكهرباء</t>
  </si>
  <si>
    <t xml:space="preserve">لزوم ثمن شكارة بلانكو خشن لزوم المحارة </t>
  </si>
  <si>
    <t>واصل  ثالث دفعة من  فاتورة تأسيس الكهرباء من اولاد فاضل</t>
  </si>
  <si>
    <t xml:space="preserve">لزوم ثمن باب حديد 3550+200نقل+400 تركيب </t>
  </si>
  <si>
    <t xml:space="preserve">لزوم ثمن يومية عامل لتكسير لتوسيع شبابيك المطبخ </t>
  </si>
  <si>
    <t xml:space="preserve">لزوم اخر دفعة من مصنعية السباك لتأسيس الصحي للشقق والصرف الخارجي </t>
  </si>
  <si>
    <t xml:space="preserve">لزوم يومية 2 عامل لتشوين رمل لمحارة المطابخ وتشوين الاسمنت </t>
  </si>
  <si>
    <t xml:space="preserve">لزوم يومية 2 عامل لتنظيف الشقق بعد المحارة </t>
  </si>
  <si>
    <t>لزوم ثمن شكارة بلانكو خشن لزوم المحارة للكمر</t>
  </si>
  <si>
    <t xml:space="preserve">لزوم اخر دفعة من فاتورة السباكة من الطاحونة </t>
  </si>
  <si>
    <t xml:space="preserve">لزوم ثمن 3 كالون ل ابواب الفيلا </t>
  </si>
  <si>
    <t xml:space="preserve">واصل اخر دفعة من حساب حديد السور والابواب و (حديد السور 1243.5*55 سعر الكيلو باجمالي 90000)(حديد الابواب سعر المتر 3700 تربعهم 24.9 مترباجمالي68000) +5000 دهان السور والابوباب </t>
  </si>
  <si>
    <t>لزوم ثمن 160الف طوبة حمرا دوبل سعر الالف 2600</t>
  </si>
  <si>
    <t>اعمال البناء (خ)</t>
  </si>
  <si>
    <t>لزوم ثمن 6 الاف طوبة اسمنتي مصمت سعر الالف 2700</t>
  </si>
  <si>
    <t>واصل اول دفعة من مصنعية البنا لزوم بناء الدور الرابع والخامس</t>
  </si>
  <si>
    <t>اعمال البناء (م)</t>
  </si>
  <si>
    <t>لزوم ثمن عربية رمل لمحارة الدور الارضي</t>
  </si>
  <si>
    <t xml:space="preserve">لزوم ثمن 2 يومية عامل + ايجار هلتي لتكسير محارة الدور الارضي </t>
  </si>
  <si>
    <t>لزوم ثمن يومية 3 عمال *350 لازالة التكسير وتشوين رمل واسمنت لمحارة الدور الارضي</t>
  </si>
  <si>
    <t xml:space="preserve">لزوم ثمن 8 طن اسمنت لزوم مباني الدور الرابع والخامس </t>
  </si>
  <si>
    <t>واصل ثاني دفعة من مصنعية البنا لزوم بناء الدور الرابع والخامس</t>
  </si>
  <si>
    <t>لزوم ثمن يومية لودر صغير1300 + 5 نقلات ركش 6*400 لتنظيف الجنينة +350 يومية عامل</t>
  </si>
  <si>
    <t>واصل اخر دفعة من مصنعية البنا لزوم بناء الدور الرابع والخامس</t>
  </si>
  <si>
    <t xml:space="preserve">لزوم ثمن فاتورة سباكة لزوم صاعد مواسير الصرف والتغذية الصاعد الثالث و الرابع علوي </t>
  </si>
  <si>
    <t xml:space="preserve">لزوم يومية عامل للكشف عن غرفة المياة بالشارع </t>
  </si>
  <si>
    <t xml:space="preserve">واصل اول دفعة  من مصنعية السباك لتغيير البطاريات وتوصيلات المواتير و مواسير تغذية المياة والصرف للدور الرابع والخامس </t>
  </si>
  <si>
    <t xml:space="preserve">واصل ثاني دفعة  من مصنعية السباك لتغيير البطاريات وتوصيلات المواتير و مواسير تغذية المياة والصرف للدور الرابع والخامس </t>
  </si>
  <si>
    <t xml:space="preserve">لزوم يومية لودر وكساحة نقل رايح جاي </t>
  </si>
  <si>
    <t xml:space="preserve">لزوم اكرامية سواق الحفار </t>
  </si>
  <si>
    <t xml:space="preserve">لزوم يومية عامل تشوين الاسمنت في المخزن </t>
  </si>
  <si>
    <t>واصل دفعة اولى  من ثمن الانسانسير</t>
  </si>
  <si>
    <t>اعمال الاسانسير</t>
  </si>
  <si>
    <t xml:space="preserve">لزوم تقفيل فاتورة كهرباء من اولاد فاضل </t>
  </si>
  <si>
    <t xml:space="preserve">لزوم ثمن دفعة اولى لشركة حمام السباحة لزوم ثمن المواسير لزوم مواسير التغذية والصرف </t>
  </si>
  <si>
    <t xml:space="preserve">لزوم ثمن 14 الف طوبة دوبل لزوم مباني غرفة السطح والدرة والسلم و الاسانسير وتقفيل داكت الصرف </t>
  </si>
  <si>
    <t>واصل من مصنعية مباني الدورة وغرف السطح والدرة والسلم والاسانسير وتقفيل داكت الصرف بالتشوين</t>
  </si>
  <si>
    <t xml:space="preserve">لزوم مصنعية عتب لغرف السطح </t>
  </si>
  <si>
    <t xml:space="preserve">لزوم ثمن دفعة ثانية  لشركة حمام السباحة لزوم ثمن المواسير لزوم مواسير التغذية والصرف </t>
  </si>
  <si>
    <t xml:space="preserve">لزوم ثمن يومية 3عمال لتفتيح اماكن مواسير المجاري فى المباني و الردم حول حوائط الخزان </t>
  </si>
  <si>
    <t xml:space="preserve">لزوم ثمن تصليح كسر ب خط المياة العمومي لبطارية الفيلا </t>
  </si>
  <si>
    <t>واصل دفعة ثانية  من ثمن الانسانسير</t>
  </si>
  <si>
    <t xml:space="preserve">لزوم ثمن 2 جرار مكعب رمل الجرار 58 متر سعر المتر 195 لزوم محارة الواجهه </t>
  </si>
  <si>
    <t xml:space="preserve">لزوم ثمن 25 طن اسمنت *3650 اسمنت حورس +250 اكرامية تنزيل </t>
  </si>
  <si>
    <t xml:space="preserve">لزوم ثمن فاتورة سباكة من  الطاحونة لزوم توصيل مياة حمام السباحة </t>
  </si>
  <si>
    <t xml:space="preserve">لزوم ثمن تشوين الرمل و الاسمنت لزوم المحارة للادوار العليا 23 طن اسمنت + 85 متر رمل </t>
  </si>
  <si>
    <t xml:space="preserve">لزوم ثمن تشوين رمل واسمنت للارضي 3 طن اسمنت و 20 متر </t>
  </si>
  <si>
    <t xml:space="preserve">لزوم نقل السقالة وتحميلها </t>
  </si>
  <si>
    <t xml:space="preserve">لزوم ثمن 4 لفة حبل شريط لزوم السقالة </t>
  </si>
  <si>
    <t>لزوم نصب السقالة 60 حطة *30 للتركيب +ايجار 2 لوح ب 40 +170 حبال ربط للسقالة +400 تقطيع اسياخ حديد التربيط</t>
  </si>
  <si>
    <t xml:space="preserve">لزوم يومية تكسير بروز المباني في الواجهات </t>
  </si>
  <si>
    <t xml:space="preserve">لزوم مصنعية مباني  اكتاف الواجهه الامامية </t>
  </si>
  <si>
    <t>لزوم يومية نحت الواجهه</t>
  </si>
  <si>
    <t xml:space="preserve">لزوم  نقل خشب للسقالة لزوم شغل الكهرباء </t>
  </si>
  <si>
    <t>لزوم ثمن 16 فتحة كور لزوم الشفاطات *200</t>
  </si>
  <si>
    <t>لزوم فاتورة طلبات لتأسيس الواجهة</t>
  </si>
  <si>
    <t xml:space="preserve">واصل اول دفعة من مصنعية تأسيس كهرباء الجهه وعلب كهرباء الوجهه للدور الرابع والخامس وتأسيس اللوحة العمومية للفيلا </t>
  </si>
  <si>
    <t xml:space="preserve">لزوم ثمن 1500 طوبة لزوم مباني الجهه الامامية </t>
  </si>
  <si>
    <t xml:space="preserve">لزوم ثمن 4000 طوبة دوبل سعر الالف طوبة 2750 و 2000 طوبة مفرد سعر الالف 1900 لزوم مباني الواجهه الخلفية  وتشوين طوب لخرونقات الحمامات وطوب لغرفة الاسانسير العلوية </t>
  </si>
  <si>
    <t>لزوم ثمن 15 فتحة كور لزوم الشفاطات *250</t>
  </si>
  <si>
    <t xml:space="preserve">لزوم ثمن تشوينات 2000+ مصنعية البنا 6000 لزوم بناء اكتاف الوجايه الامامية والخلفية + رفع 40 سم دروة الواجهه كلها </t>
  </si>
  <si>
    <t xml:space="preserve">لزوم ثمن خمس بكرات فايبر للمحارة 500 +لزوم ثمن متر ماسورة 3 بوصة 35 </t>
  </si>
  <si>
    <t>اعمال الجبسون بورد</t>
  </si>
  <si>
    <t xml:space="preserve">لزوم ثمن تاسيس التكيف في الدور الارضي 14 متر *950 تجهيز تكيف 3 حصان  </t>
  </si>
  <si>
    <t>واصل اول دفعة  من ثمن تأسيس الشفاطات الدور الارضى والاول والثاني علوي من اجمالي 20000</t>
  </si>
  <si>
    <t>واصل دفعة من اعمال تأسيس تكيفات الدور الاول و الثاني علوي</t>
  </si>
  <si>
    <t xml:space="preserve">لزوم ثمن 14 الف طوبة </t>
  </si>
  <si>
    <t>واصل دفعة اولى من مصنعية البنا  لزوم مباني الدور الثالث والرابع علوي الداخلية 14 الف طوبة *950</t>
  </si>
  <si>
    <t>لزوم ثمن 3 يوميات نحات  لنحت كمرات الواجهه 400* 3 + ايجار هلت275*3</t>
  </si>
  <si>
    <t>لزوم ثمن 4 طن اسمنت *3700 ل اعمال المباني الداخلية للدور الرابع والثالث علوي</t>
  </si>
  <si>
    <t xml:space="preserve">واصل دفعة اولى من اعمال جبس الواجهه </t>
  </si>
  <si>
    <t xml:space="preserve">واصل ثاني دفعة من مصنعية تأسيس كهرباء الجهه وعلب كهرباء الوجهه للدور الرابع والخامس وتأسيس اللوحة العمومية للفيلا </t>
  </si>
  <si>
    <t xml:space="preserve">لزوم ثمن فاتورة لوحة كهرباء العمومية من اولاد فاضل </t>
  </si>
  <si>
    <t xml:space="preserve">لزوم ثمن2 يوميات عمال *350 لزوم نظافة الشقق من الركش وناتج التكسير </t>
  </si>
  <si>
    <t xml:space="preserve">لزوم ثمن 2يومية تكسير اكتاف الواجهه الامامية + تكسر جلسة شبابيك الحمام </t>
  </si>
  <si>
    <t xml:space="preserve">لزوم تقفيل فاتورة كهرباء من اولاد فاضل  لزوم تاسيس كهرباء الحوائط الخارجية للدور الثالث والرابع علوي </t>
  </si>
  <si>
    <t>لزوم تقفيل ثمن تأسيس الشفاطات الدور الارضى والاول والثاني علوي من اجمالي 20000</t>
  </si>
  <si>
    <t>لزوم ثمن  تأسيس الشفاطات  الدور الثالث والرابع علوي من اجمالي 20000</t>
  </si>
  <si>
    <t xml:space="preserve">لزوم ثمن تأسيس وصلة شفاطات زيادة لخمس مطابخ </t>
  </si>
  <si>
    <t xml:space="preserve">لزوم ثمن 5 فتحات كور *250 لزوم شفاطات المطبخ الزيادة </t>
  </si>
  <si>
    <t xml:space="preserve">تعديل تكيف الدور الاول على الواجهه الاماميلة لنقلة في البلكونة 4 متر *800 تكيف 1.5 حصان </t>
  </si>
  <si>
    <t>لزوم ثمن تأسيس تكيفات الدور الاول  (الوصلات المسروقة) 9متر *800=7200+ تعديل خط 1500</t>
  </si>
  <si>
    <t>لزوم ثمن تأسيس تكيفات الدور الثاني علوي (الوصلات المسروقة) 6.5*900=5850+10.5*900=9450+10.5*900=9450+9*800=7200</t>
  </si>
  <si>
    <t>لزوم ثمن 2 يومية عامل + ايجار هلتي لتكسير محارة الدور الاول علوي + حوائط الدور الرابع علوي الواجهه الامامية + توسيع فتحات شبابيك الحمامات الواجهه الجانبية</t>
  </si>
  <si>
    <t>لزوم ثمن اخر دفعة من مصنعية مباني الدور الثالث والرابع علوي الداخلية 14 الف طوبة *950</t>
  </si>
  <si>
    <t xml:space="preserve">لزوم ثمن يومية بنا لزوم عمل ارفف حمامات الدور الارضي ورفع دروة السطح </t>
  </si>
  <si>
    <t>لزوم ثالث دفعة من اعمال الجبسون بورد (تقفيل حساب الدور الاول علوي اجمالي 90000)</t>
  </si>
  <si>
    <t>لزوم رابع دفعة من اعمال الجبسون بورد (من حساب الدور الثاني علوي )</t>
  </si>
  <si>
    <t>لزوم ثمن اول دفعة من  فاتورة  الصحي لزوم تأسيس سباكة الدور الثالث والرابع علوي من الطاحونة من اجمالي 143000</t>
  </si>
  <si>
    <t>لزوم خامس دفعة من اعمال الجبسون بورد (تقفيل حساب الدور الثاني علوي اجمالي 90000)</t>
  </si>
  <si>
    <t>لزوم سادس دفعة اعمال الجبسون بورد ( اول دفعة من حساب الدور الارضي)</t>
  </si>
  <si>
    <t>واصل اول دفعة من مصنعية اعمال الكهرباء الدور الثالث والرابع علوي</t>
  </si>
  <si>
    <t xml:space="preserve">واصل من فاتورة اعمال الكهرباء من اولاد فاضل لزوم اعواد المجناتيك للجبسون بورد </t>
  </si>
  <si>
    <t xml:space="preserve">واصل اول دفعة من فاتورة اعمال الكهرباء من اولاد فاضل لزوم تاسيس الحوائط الداخلية للدور الرابع  والخامس العلوي </t>
  </si>
  <si>
    <t xml:space="preserve">واصل اول دفعة من مصنعية السباك لزوم تاسيس حمامات ومطابخ الدور الرابع والخامس </t>
  </si>
  <si>
    <t>لزوم ثمن ثاني دفعة من  فاتورة  الصحي لزوم تأسيس سباكة الدور الثالث والرابع علوي من الطاحونة من اجمالي 143000</t>
  </si>
  <si>
    <t>لزوم ثمن يومية عامل بالهيلت والصاروخ لتكسير و قص كمرة السلم البارزة وقص الاسياخ الحديد لفتحة السلم الدوبليكس +قص اشاير العمدان لغرف السطح الجزء الخلفي 650 + يومية عامل لتنظيف ركش الحمامات للسباك350+يومية عامل 350</t>
  </si>
  <si>
    <t xml:space="preserve">لزوم ثمن تأسيس تكيفات الدور الرابع علوي30م * 800 تكيفات 1.5 حصان للغرف + 35م*950 وصلات 3 حصان للريسبشن </t>
  </si>
  <si>
    <t>لزوم ثمن دفعة اولي من  تأسيس تكيفات الدور الثالث علوي والرابع علوي ( من اجمالي امتار 12م * 800لزوم تكيفات 1.5 حصان للغرف+35م *950 للرسيبشن = 42850)</t>
  </si>
  <si>
    <t>واصل ثاني دفعة من مصنعية اعمال الكهرباء الدور الثالث والرابع علوي</t>
  </si>
  <si>
    <t xml:space="preserve">واصل ثاني دفعة من فاتورة اعمال الكهرباء من اولاد فاضل لزوم تاسيس الحوائط الداخلية للدور الرابع  والخامس العلوي </t>
  </si>
  <si>
    <t>لزوم ثمن ثالث دفعة من  فاتورة  الصحي لزوم تأسيس سباكة الدور الثالث والرابع علوي من الطاحونة من اجمالي 143000</t>
  </si>
  <si>
    <t xml:space="preserve">واصل ثاني  دفعة من مصنعية السباك لزوم تاسيس حمامات ومطابخ الدور الرابع والخامس </t>
  </si>
  <si>
    <t xml:space="preserve">واصل دفعة ثانية من اعمال جبس الواجهه </t>
  </si>
  <si>
    <t xml:space="preserve">لزوم ثمن 2عربية رملة </t>
  </si>
  <si>
    <t xml:space="preserve">لزوم ثمن ايجار ونش لرفع 5000 طوبة </t>
  </si>
  <si>
    <t xml:space="preserve">لزوم ثمن 5000 طوبة فرداني *1750 لتكملة مباني الدور الثالث والرابع علوي ومباني خزانات دفن القواعد وارفف الحمامات وجلسة السلم </t>
  </si>
  <si>
    <t xml:space="preserve">لزوم ثمن ايجار كور لفتح 10 فتحات 6 بوصة *250 لزوم تكيفات الدور الثالث والرابع علوي لوصلها بالسطح </t>
  </si>
  <si>
    <t xml:space="preserve">لزوم ثمن اول دفعة من مصنعية تكملة مباني الدور الثالث علوي + تقفيل اشاير عمدان غرف السطح </t>
  </si>
  <si>
    <t>لزوم ثمن 2يومية عامل لتنظيف شقتين الدور الرابع علوي من الركش *350+ يومية عامل لنقل الرملة من الشقة للشقة</t>
  </si>
  <si>
    <t>لزوم ثمن اخر دفعة من  تأسيس تكيفات الدور الثالث علوي والرابع علوي ( من اجمالي امتار 12م * 800لزوم تكيفات 1.5 حصان للغرف+35م *950 للرسيبشن = 42850)</t>
  </si>
  <si>
    <t>واصل ثالث دفعة من مصنعية اعمال الكهرباء الدور الثالث والرابع علوي</t>
  </si>
  <si>
    <t>لزوم ثمن 4 يوميات عامل لتنظيف 4 شقق من الركش *350</t>
  </si>
  <si>
    <t>لزوم ثمن تشوين  رمل 20 م 3 لزوم محارة الشقق الدور الثالث و الرابع علوي</t>
  </si>
  <si>
    <t xml:space="preserve">لزوم ثمن ايجار ونش لرفع 20م 3 رمل لزوم محارة الشقق الدور الثالث و الرابع علوي </t>
  </si>
  <si>
    <t xml:space="preserve">لزوم ثمن يومية عامل + ايجار هلت لنحت خرسانة بلكونات الواجهه الامامية </t>
  </si>
  <si>
    <t xml:space="preserve">لزوم ثمن مصنعية تكملة باقي بناء الحوائط اتلناقصة في الدور الثالث والرابع علوي +كوبسطة السلم 2000 طوبة </t>
  </si>
  <si>
    <t>واصل اخر  دفعة من مصنعية السباك لزوم تاسيس الدور الرابع والخامس حساب شقة2حمام ومطبخ 2*6500=13000 + حساب 3 حمام وطبخ 2**8500=17000 اجمالي الحساب 4 شقة 30000 واصل 17000 باقي 13000</t>
  </si>
  <si>
    <t xml:space="preserve">اعمال الخرسانات </t>
  </si>
  <si>
    <t xml:space="preserve">واصل اول دفعة من اعمال نجارة اعمدة الدور الرابع </t>
  </si>
  <si>
    <t xml:space="preserve">لزوم يومية 2 عامل لازالة صدا الاشاير شامل سلك الصنفرة والصاروخ </t>
  </si>
  <si>
    <t xml:space="preserve">لزوم ثمن فاتورة سلك رباط 20 كيلو لزوم حدادة الاعمدة </t>
  </si>
  <si>
    <t xml:space="preserve">لزوم ثمن 6 طن اسمنت لزوم صبة اعمدة الدور الرابع </t>
  </si>
  <si>
    <t xml:space="preserve">لزوم ثمن 58 متر رمل لزوم صبة اعمدة وسقف الدور الرابع </t>
  </si>
  <si>
    <t xml:space="preserve">لزوم ثمن 58 متر سن  لزوم صبة اعمدة وسقف الدور الرابع </t>
  </si>
  <si>
    <t xml:space="preserve">لزوم اكرامية خلاط صب الاعمدة </t>
  </si>
  <si>
    <t xml:space="preserve">لزوم ثمن 8974 كيلو حديد لزوم حدادة اعمدة وسقف  الدور الرابع بالنقل والتحميل </t>
  </si>
  <si>
    <t xml:space="preserve">واصل ثاني دفعة من اعمدة ونجارة اعمدة و سقف الدور الرابع </t>
  </si>
  <si>
    <t>لزوم ثمن سلك رباط لسقف الدور الرابع</t>
  </si>
  <si>
    <t xml:space="preserve">لزوم ثمن2 عربية مياه لصب سقف الرابع </t>
  </si>
  <si>
    <t xml:space="preserve">واصل باقي مصنعية النجار المسلح لاعمدة وسقف الرابع بأجمالي 121م3 سعر المتر 550 </t>
  </si>
  <si>
    <t xml:space="preserve">لزوم ثمن 2 يومية خلاطة لصب السقف والاعمدة </t>
  </si>
  <si>
    <t>لزوم ثمن ابلكاش لداير البلكونات</t>
  </si>
  <si>
    <t xml:space="preserve">لزوم ثمن اكرامية خلاطة صب السقف </t>
  </si>
  <si>
    <t xml:space="preserve">لزوم ثمن بسكوت للكفر الخرساني للسقف </t>
  </si>
  <si>
    <t xml:space="preserve">لزوم يومية عامل لوضع بسكوت السقف </t>
  </si>
  <si>
    <t xml:space="preserve">لزوم ثمن شمبر لداير الكمر و السقف </t>
  </si>
  <si>
    <t xml:space="preserve">لزوم ايجار هزاز لصب السقف </t>
  </si>
  <si>
    <t xml:space="preserve">لزوم اكرامية عمال تنزيل الاسمنت </t>
  </si>
  <si>
    <t>لزوم ثمن 21 طن اسمنت لصب السقف * 3700</t>
  </si>
  <si>
    <t xml:space="preserve">لزوم ثمن نص طن حديد 3 ليني و 200 كيلو كانات </t>
  </si>
  <si>
    <t xml:space="preserve">لزوم ثمن عربية سن 20 متر لصب السقف </t>
  </si>
  <si>
    <t xml:space="preserve">لزوم ثمن ايجار لودر ساعة لجر الحديد ورفع التشوينات </t>
  </si>
  <si>
    <t xml:space="preserve">لزوم ثمن لفة سلك رباط لاعمدة الدور الخامس </t>
  </si>
  <si>
    <t>واصل اول دفعة من مصنعية النجار الدور الخامس</t>
  </si>
  <si>
    <t xml:space="preserve">لزوم ثمن 7 طن اسمنت لصب اعمدة الدور الخامس </t>
  </si>
  <si>
    <t xml:space="preserve">لزوم ثمن عربية سن 20 متر لصب اعمدة الدور الخامس </t>
  </si>
  <si>
    <t xml:space="preserve">لزوم ثمن عربية رمل 20 متر لصب اعمدة الدور الخامس </t>
  </si>
  <si>
    <t xml:space="preserve">لزوم ايجار ساعة لودر لتقريب التشوين لزوم صب الاعمدة </t>
  </si>
  <si>
    <t xml:space="preserve">لزوم ثمن لفة سلك رباط لسقف  الدور الخامس </t>
  </si>
  <si>
    <t xml:space="preserve">لزوم ثمن اكرامية حدادين لسقف الدور الخامس </t>
  </si>
  <si>
    <t xml:space="preserve">لزوم اكرامية عمال لتنزيل الاسمنت لصب السقف باجمالي 22 طن </t>
  </si>
  <si>
    <t xml:space="preserve">فونطاس مياة لزوم صب سقف الدور الخامس </t>
  </si>
  <si>
    <t xml:space="preserve">اكرامية نجارين سقف الدور الخامس </t>
  </si>
  <si>
    <t xml:space="preserve">اخر دفعة من مصنعية النجار المسلح لاعمدة و سقف الدور الخامس </t>
  </si>
  <si>
    <t xml:space="preserve">لزوم 2 يومية خلاط للاعمدة و سقف الدور الخامس </t>
  </si>
  <si>
    <t xml:space="preserve">لزوم يومية 2 هزاز للاعمدة وسقف الخامس </t>
  </si>
  <si>
    <t xml:space="preserve">يومية عامل لوضع بسكوت اسفل الحديد </t>
  </si>
  <si>
    <t xml:space="preserve">لزوم ثمن 4 شكاير بسكوت لرفع الحديد </t>
  </si>
  <si>
    <t>لزوم اكرامية خلاط لصب الاعمدة</t>
  </si>
  <si>
    <t xml:space="preserve">لزوم اكرامية خلاط لصب السقف </t>
  </si>
  <si>
    <t xml:space="preserve">لزوم ثمن فاتورة حديدالمصريين سعر الطن 36800 باجمالي 2283 كيلو جرام لاعمدة الدور الخامس بالنقل </t>
  </si>
  <si>
    <t>لزوم ثمن فاتورة حديد المصريين سعر الطن 37800باجمالي 5844 كيلو جرام لسقف  الدور الخامس بالنقل</t>
  </si>
  <si>
    <t>لزوم ثمن فاتورة 22 طن  اسمنت تيتان سعر الطن 3750 لصب سقف الدور الخامس بالنقل</t>
  </si>
  <si>
    <t xml:space="preserve">لزوم ثمن جرار سن 58 متر لصب سقف الدور الخامس </t>
  </si>
  <si>
    <t xml:space="preserve">لزوم ثمن جرار رمل  58 متر لصب سقف الدور الخامس </t>
  </si>
  <si>
    <t>لزوم ايجار لودر لمدة ساعة لرفع التشوينات</t>
  </si>
  <si>
    <t xml:space="preserve">واصل اول دفعة من مصنعية نجار المسلح لزوم غرف السطح </t>
  </si>
  <si>
    <t xml:space="preserve">لزوم 2 يومية لنقل الاسمنت + يومية ل </t>
  </si>
  <si>
    <t xml:space="preserve">لزوم يومية 3 عامل لتسوية قاع الحفر و حفر الغرفة الزيادة في حمام السباحة </t>
  </si>
  <si>
    <t xml:space="preserve">لزوم ثمن قفل مخزن للمحلات </t>
  </si>
  <si>
    <t xml:space="preserve">لزوم ثمن مشمع لتغطية الاسمنت </t>
  </si>
  <si>
    <t>واصل من مصنعية صب غرف السطح و ارضية حمام السباحة (الخرسانة العادية)</t>
  </si>
  <si>
    <t xml:space="preserve">لزوم ثمن سلك رباط لزوم حدادة غرف السطح </t>
  </si>
  <si>
    <t xml:space="preserve">لزوم ثمن 2 عربية رملة لزوم صب غرف السطح و ارضية الحمام </t>
  </si>
  <si>
    <t xml:space="preserve">لزوم ثمن ايجار لودر ساعة لرفع ناتج الحفر لزوم صب حمام السباحة </t>
  </si>
  <si>
    <t xml:space="preserve">لزوم ثمن 100 سيخ حديد 4 لينه +150 كيلو حديد كانات لغرف السطح </t>
  </si>
  <si>
    <t xml:space="preserve">لزوم ثمن 4.5 طن اسمنت لزوم تكملة صب غرف السطح </t>
  </si>
  <si>
    <t>لزوم ثمن فاتورة برميل صغير عزل 4700+13 لفة عزل 4 مم8255</t>
  </si>
  <si>
    <t xml:space="preserve">لزوم مصنعية مباني حمام السباحة </t>
  </si>
  <si>
    <t xml:space="preserve">لزوم ثمن 6 الف طوبة اسمنتي لمباني حمام السباحة </t>
  </si>
  <si>
    <t xml:space="preserve">لزوم  مصنعية عزل حمام السباحة </t>
  </si>
  <si>
    <t xml:space="preserve">لزوم ثمن عربية رمل ل اعمال المباني حمام السباحة وصب الخرسانة المسلحة </t>
  </si>
  <si>
    <t xml:space="preserve">لزوم نقل طلبات العزل للفيلا </t>
  </si>
  <si>
    <t>لزوم تقفيل حساب صب غرف السطح و ارضية حمام السباحة (الخرسانة العادية)</t>
  </si>
  <si>
    <t xml:space="preserve">لزوم ثمن فاتورة حديد المصرين  لحمام 150سيخ 12 مم+60 سيخ 10مم لحمام السباحة </t>
  </si>
  <si>
    <t xml:space="preserve">لزوم ثمن سلك رباط لحدادة حمام السباحة </t>
  </si>
  <si>
    <t xml:space="preserve">لزوم ثمن لفة water stop لزوم لبشة حمام السباحة </t>
  </si>
  <si>
    <t xml:space="preserve">لزوم لودر لرفع التشوينات لزوم صب لبشة حمام السباحة </t>
  </si>
  <si>
    <t xml:space="preserve">اكرامية خلاط صبة لبشة حمام السباحة </t>
  </si>
  <si>
    <t xml:space="preserve">لزوم ثمن 2 نقلة سن لزوم صب لبشة السباحة </t>
  </si>
  <si>
    <t>لزوم ثمن 2 طن*3850 اسمنت لمباني غرف السطح و 3.5 طن *3950اسمنت مقاوم لصب لبشة حمام السباحة</t>
  </si>
  <si>
    <t>لزوم طلبية حديد ثانية حديد المصرين 15 سيخ 12 مم +26 سيخ 10مم لتسليح حمام السباحة بالنقل</t>
  </si>
  <si>
    <t xml:space="preserve">واصل من  مصنعية نجارة وحدادة لبشة و حوائط حمام سباحة </t>
  </si>
  <si>
    <t xml:space="preserve">لزوم ثمن 2 نقلة سن لصب حوائط الحمام </t>
  </si>
  <si>
    <t xml:space="preserve">واصل من مصنعية نجارة وحدادة وصب حمام السباحة </t>
  </si>
  <si>
    <t>لزوم ثمن فاتورة 5.5 طن اسمنت مقاوم*3950 لصب حوائط حمام السباحة</t>
  </si>
  <si>
    <t xml:space="preserve">لزوم اكرامية نجارين </t>
  </si>
  <si>
    <t>لزوم اكرامية تنزيل الاسمنت 50 + اكرامية عمال الخلاط 200</t>
  </si>
  <si>
    <t xml:space="preserve">لزوم ثمن لودر لتقريب تشوينات الصب </t>
  </si>
  <si>
    <t xml:space="preserve">لزوم تقفيل حساب صب ونجارة وحدادة  حمام السباحة مع النجار </t>
  </si>
  <si>
    <t xml:space="preserve">لزوم ثمن ايجار 2 يومية هزاز لزوم صب اللبشة وحوائط حمام السباحة </t>
  </si>
  <si>
    <t xml:space="preserve">لزوم اكرامية صب سقف غرف حمام السباحة </t>
  </si>
  <si>
    <t xml:space="preserve">لزوم يومية 4 عمال لزوم الردم وتقطيع زراجين حمام السباحة </t>
  </si>
  <si>
    <t xml:space="preserve">لزوم يومية عامل لصب اسفل المجرى احمام السباحة تمهيدا للعزل </t>
  </si>
  <si>
    <t xml:space="preserve">لزوم مصنعية مباني باكية السور وقواطع قصية الردم لزوم الردم </t>
  </si>
  <si>
    <t xml:space="preserve">لزوم ايجار لودر صغير لزوم الردم حول حمام السباحة والجنينة الخلفية </t>
  </si>
  <si>
    <t xml:space="preserve">لزوم اكرامية سواق اللودر وعامل يوم الردم </t>
  </si>
  <si>
    <t>نسبة الاشراف 7%</t>
  </si>
  <si>
    <t>نسبة الاشراف</t>
  </si>
  <si>
    <t>Grand Total</t>
  </si>
  <si>
    <t xml:space="preserve">لزوم ثمن اعمال الترخيص </t>
  </si>
  <si>
    <t xml:space="preserve">لزوم ثمن مصروفات الرخصة </t>
  </si>
  <si>
    <t xml:space="preserve">لزوم ثمن تصميم المبنى +تصميم غرف السطح 75% </t>
  </si>
  <si>
    <t xml:space="preserve">لزوم مصنعية تكسير وتمديد ماسورة للكهرباء </t>
  </si>
  <si>
    <t xml:space="preserve">لزوم فاتورة 20 متر مواسير وجلبة لحام لزوم تمديد ماسورة كهرباء </t>
  </si>
  <si>
    <t xml:space="preserve">لزوم ثمن يومية عامل صاروخ + ايجار صاروخ لزوم تكسير حائط البار + حائط باب بلكونة الريسبشن </t>
  </si>
  <si>
    <t xml:space="preserve">لزوم ثمن يومية عامل لتنزيل نتائج الهدم </t>
  </si>
  <si>
    <t xml:space="preserve">لزوم ثمن اكرامية امداد كبل الكهرباء للفيلا </t>
  </si>
  <si>
    <t>واصل رابع دفعة من مصنعية تأسيس اعمال الكهرباء الدور الثالث والرابع علوي</t>
  </si>
  <si>
    <t xml:space="preserve">لزوم ثمن فاتورة 20 طن اسمنت بني سويف * 3650 لزوم محارة الواجهه الجانبية وباقي شقق الثالث والرابع علوي </t>
  </si>
  <si>
    <t xml:space="preserve">لزوم اكرامية لتشوين الاسمنت </t>
  </si>
  <si>
    <t>لزوم ثمن 30 متر مكعب رمل لزوم محارة الواجهه الجانبية وباقي شقق الثالث والرابع علوي</t>
  </si>
  <si>
    <t xml:space="preserve">لزوم ثمن ايجار ونش لتشوين 30 م مكعب رملة و 20 طن اسمنت </t>
  </si>
  <si>
    <t xml:space="preserve">لزوم فك السقالة 36 حطة من الواجهه الخلفية 36*30 </t>
  </si>
  <si>
    <t xml:space="preserve">لزوم تركيب  السقالة 36 حطة على الواجهه الجانبية الاخري 36*30 </t>
  </si>
  <si>
    <t xml:space="preserve">واصل ثالث دفعة من اعمال جبس الواجهه </t>
  </si>
  <si>
    <t xml:space="preserve">لزوم ثمن كالون الباب اليمين لسور الواجهه الامامية </t>
  </si>
  <si>
    <t xml:space="preserve">لزوم ثمن 2 يومية عامل لنقل شكاير الاسمنت في الدور الاؤضي+ تنظيف مكان السباك والكهربائي </t>
  </si>
  <si>
    <t xml:space="preserve">لزوم ثالث دفعة من فاتورة اعمال الكهرباء من اولاد فاضل لزوم تاسيس الحوائط الداخلية للدور الرابع  والخامس العلوي </t>
  </si>
  <si>
    <t>لزوم تقفيل  فاتورة  الصحي لزوم تأسيس سباكة الدور الثالث والرابع علوي من الطاحونة من اجمالي 143000</t>
  </si>
  <si>
    <t xml:space="preserve">واصل اول دفعة من فاتورة العزل للحمامات والمطابخ للدور الارضي والاول علوي( 14 شكارة سيكا 880 +5 ادبوند 660 + 150 نقل ومشال </t>
  </si>
  <si>
    <t xml:space="preserve">لزوم ثمن فاتورة زاوية فلسبيكو  43* 27 + 40 نقل لزوم شقتين الخامس علوي </t>
  </si>
  <si>
    <t>لزوم يومية محارة لتسليخ الشاسيهات الحديد علي بلكونات الواجهه</t>
  </si>
  <si>
    <t xml:space="preserve">لزوم دفعة اولى من مصنعية الحداد لزوم علب العمدان وشاسيهات البلكونات وحديد سلم الدوبلكس </t>
  </si>
  <si>
    <t xml:space="preserve">واصل رابع دفعة من اعمال جبس الواجهه </t>
  </si>
  <si>
    <t xml:space="preserve">لزوم 2 يومية عامل لزوم تغطية الحمامات و المطابخ المعزولة بالرمل </t>
  </si>
  <si>
    <t xml:space="preserve">لزوم دفعة اولى من ثمن حديد هاندريل البلكونات   </t>
  </si>
  <si>
    <t xml:space="preserve">واصل اول دفعة من مصنعية تأسيس الكهرباء لفتح الاسبوتات في الدو ر الارضي و الاول علوي </t>
  </si>
  <si>
    <t>لزوم فاتورة كهرباء لزوم اعواد مجناتك لزوم شقق الدور الرابع والخامس علوي من اولاد فاضل</t>
  </si>
  <si>
    <t>لزوم مصنعية البنا لزوم بناء هندريل السلم بالمقطوعية</t>
  </si>
  <si>
    <t xml:space="preserve">لزوم ثمن فاتورة 3 اسياخ حديد لزوم الجبس للواجهه  + 150 نقل توكتوك </t>
  </si>
  <si>
    <t xml:space="preserve">لزوم ثمن فاتورة حديد من اليحيى لزوم سلم الدوبلكس </t>
  </si>
  <si>
    <t xml:space="preserve">واصل خامس دفعة من اعمال جبس الواجهه </t>
  </si>
  <si>
    <t>واصل ثاني دفعة من مصنعية تأسيس الكهرباء لفتح الاسبوتات في الدو ر الثاني والثالث والرابع علوي</t>
  </si>
  <si>
    <t>لزوم ثمن فاتورة كهرباء من اولاد فاضل لزوم تركات المجناتك للجبسون بورد في الادوار الثالث والرابع علوي</t>
  </si>
  <si>
    <t>لزوم ثمن مصنعية 3 يومية عامل لزوم  تحويل الرملة في الدور الارضي وتنظيف الركش في الدور الاول علوي* 350</t>
  </si>
  <si>
    <t>لزوم ثمن فاتورة حديد لزوم السلم الدوبلكس من اليحيى</t>
  </si>
  <si>
    <t>لزوم ثمن فاترة 15 بكرة فايبر لزوم المحارة</t>
  </si>
  <si>
    <t>لزوم 2 يومية عامل محارة لزوم مرمات الكهرباء</t>
  </si>
  <si>
    <t xml:space="preserve">لزوم 2 يومية عامل محارة لزوم كمر الاسقف لزوم اسقف بيت الستارة </t>
  </si>
  <si>
    <t xml:space="preserve">لزوم ثمن فك ونصب السقالة الجزء الاخير الواجهه الجانبية شمال السلم </t>
  </si>
  <si>
    <t>اعمال الحديد</t>
  </si>
  <si>
    <t>القسم</t>
  </si>
  <si>
    <t xml:space="preserve">لزوم ثمن ايجار سقالة لمدة شهر 60 حطة *200(من 18-12 حتى 18-1) لزوم الواجهه الامامية والجانبية </t>
  </si>
  <si>
    <t>لزوم ثمن ايجار سقالة لمدة شهر 60 حطة *200 (من 18-1 ل 18-2) لزوم الواجهه الامامية والجانبية</t>
  </si>
  <si>
    <t>لزوم ثمن ايجار سقالة لمدة شهر45 حطة *200 (من 10-2 ل 10-3) على الواجهه الخلفية (36 الخلفية + 3 حطات تكملة الواجهه الامامية + 5 حطات تكملة لدروة الواجهه الجانبية )</t>
  </si>
  <si>
    <t>لزوم ثمن ايجار سقالة لمدة شهر 60 حطة *200 (من 18-2 ل 18-3) لزوم الواجهه الامامية والجانبية</t>
  </si>
  <si>
    <t>لزوم نصب السقالة 36 حطة *30 للتركيب +170 حبال ربط للسقالة +200 تقطيع اسياخ حديد التربيط</t>
  </si>
  <si>
    <t>لزوم ثمن ايجار سقالة لمدة شهر 60 حطة *200 (من 18-3 ل 18-4) لزوم الواجهه الامامية والجانبية</t>
  </si>
  <si>
    <t>البند تفصيلي</t>
  </si>
  <si>
    <t xml:space="preserve"> لزوم ثمن 200 طوبة و 2 شكارة اسمنت بالنقل والتشوين لبناء كتف المباني بجوار البلكونة + سد فتحات شبابيك غرف النوم </t>
  </si>
  <si>
    <t xml:space="preserve">لزوم ثمن 3 يومية عامل *350بالصاروخ 200 لخلع شبابيك الشقة وباب البلكونة بالبار و الحلقان </t>
  </si>
  <si>
    <t xml:space="preserve">لزوم ثمن فاتورة كهرباء للجبسون بورد من اولاد فاضل لزوم 2 عود مجناتك و 2 لفة سوستة و شريط لحام </t>
  </si>
  <si>
    <t>واصل اول دفعة من اعمال الجبسون بورد</t>
  </si>
  <si>
    <t>لزوم مصنعية تعديل فتحات كهرباء للدش و تعديل كهرباء الدريسينج و تعديل اماكن كهرباء اماكن الحائط الي اتكسر وتركيب العداد وتقفيل لوحة كهرباء الارضي</t>
  </si>
  <si>
    <t xml:space="preserve">لزوم ثمن 3 يومية عامل *350 لتكسير ارش الدوران الفاصل بين الليفنج والرسيبشن وتكسير هاند ريل البلكونه وتكسير طي الجبس و السرر الجبس فى الغرف و الطرق ويومية نظافة </t>
  </si>
  <si>
    <t xml:space="preserve"> لزوم ثمن تركيب7 متر خط مواسير نحاس لزوم تأسيس تكيف 3 حصان *900 + لزوم ثمن 4 حوامل كبار *450 + حامل صغير 400 + تركيب الحوامل 300+ لزوم تركيب خط شفاط للمطبخ 2500</t>
  </si>
  <si>
    <t xml:space="preserve">لزوم ثمن 2 شكارة اسمنت + شكارة جبس لزوم مرمات المحارة </t>
  </si>
  <si>
    <t>لزوم مصنعية محارة  4 صناعية لزوم تامين ابواب البلكونات والشبابيك وكتف المباني ومرمات الكهرباء*700</t>
  </si>
  <si>
    <t>لزوم ثمن هاندريل حديد لزوم البلكونة علب 3*4 56 كيلو *55 ج</t>
  </si>
  <si>
    <t>لزوم يومية البنا لتقفيل الشباكين وبناء كتف المباني لحائط الالوميتال</t>
  </si>
  <si>
    <t xml:space="preserve">لزوم ثمن فتحة الكور لشفاط المطبخ </t>
  </si>
  <si>
    <t>لزوم ثمن 3 يوميات عامل *350 لتكسير باقي طي الجبس للشقة كاملة + تنظيف الشقة وتنظيف تكسير كهربائي</t>
  </si>
  <si>
    <t>لزوم مصنعية كهربائي لزوم تأسيس تكيفات باقي ال3 شقق</t>
  </si>
  <si>
    <t xml:space="preserve">لزوم فاتورة كهرباء لسحب السلك في الاسبوتات 2 لفة سلك 1.5 مم + لفة سلك 2مم من اولاد فاضل </t>
  </si>
  <si>
    <t>لزوم ثمن 3 شكاير اسمنت 190 *3</t>
  </si>
  <si>
    <t xml:space="preserve">لزوم فاتورة كهرباء لزوم سوستة 15 مم وعلبة ماجيك مفرد بكلبس </t>
  </si>
  <si>
    <t xml:space="preserve">لزوم ثمن فاتورة صحي من محجوب </t>
  </si>
  <si>
    <t xml:space="preserve">لزوم ثمن فاتورة 100 عود فيو تك </t>
  </si>
  <si>
    <t xml:space="preserve">لزوم ثمن فاتورة دهانات </t>
  </si>
  <si>
    <t>اعمال الكهرباء(خ)</t>
  </si>
  <si>
    <t>اعمال الصحي</t>
  </si>
  <si>
    <t xml:space="preserve">لزوم ثمن فاتورة بورسلين ريسيبشن الارضي وبورسلين باركيه لدوبليكس الاول علوي من السلاب </t>
  </si>
  <si>
    <t>لزوم ثمن فاتولرة سيراميك الحمامات لزوم الدوبليكس من محجوب</t>
  </si>
  <si>
    <t>لزوم ثمن فاتورة الصحي لزوم الدوبليكس + شقتين + فاتورة سيراميك مط لزوم شقة يمين السلم الدور الاول علوي عل الواجهه</t>
  </si>
  <si>
    <t xml:space="preserve">لزوم ثمن فاتورة بلاط سنجابي 450 متر مربع </t>
  </si>
  <si>
    <t>لزوم تقفيل  مصنعية الحداد لزوم  حديد سلم الدوبلكس من اجمالي 15000 -10000</t>
  </si>
  <si>
    <t>لزوم تقفيل مصنعية الحداد لزوم علب العمدان وشاسيهات البلكونات وحديد سلم الدوبلكس من اجمالي 12000-5000</t>
  </si>
  <si>
    <t>لزوم اكرامية سواق من محجوب</t>
  </si>
  <si>
    <t xml:space="preserve">لزوم يومية 4 انفار لتنزيل سيراميك محجوب </t>
  </si>
  <si>
    <t xml:space="preserve">لزوم يومية 4 انفار لتنزيل سيراميك السلاب  </t>
  </si>
  <si>
    <t>لزوم اكرامية سواق من السلاب</t>
  </si>
  <si>
    <t>اعمال الارضيات</t>
  </si>
  <si>
    <t>لزوم ثمن اول دفعة من اعمال  upvc</t>
  </si>
  <si>
    <t>لزوم ثمن ثاني دفعة من اعمال  upvc</t>
  </si>
  <si>
    <t>لزوم ثمن ثاني دفعة من اعمال الجبسون بورد</t>
  </si>
  <si>
    <t xml:space="preserve">لزوم ثمن يومية عامل محارة لزوم تركيب عتب بابا البلكونة وتأميم </t>
  </si>
  <si>
    <t>لزوم اول دفعة من مصنعية النقاش</t>
  </si>
  <si>
    <t xml:space="preserve">لزوم ثمن فاتورة نقاشة </t>
  </si>
  <si>
    <t>لزوم تقفيل مصنعية الجبسون بورد</t>
  </si>
  <si>
    <t>لزوم دفعة اولى من مصنعية الاستورجي لزوم دهان الابواب</t>
  </si>
  <si>
    <t>لزوم ثمن فاتورة جونيات لتبديل جوينات قواعد الصرف</t>
  </si>
  <si>
    <t>لزوم مصنعية للسباك</t>
  </si>
  <si>
    <t>اعمال النقاشة(م)</t>
  </si>
  <si>
    <t>اعمال المحارة(م)</t>
  </si>
  <si>
    <t xml:space="preserve">لزوم فاتورة 100 شكارة مادة لزوم سيراميك لزوم بورسلين الدوبلكس من حمدي عطوان </t>
  </si>
  <si>
    <t>لزوم ثمن فاتورة 15 طن اسمنت بني سويف من الكابتن *3675</t>
  </si>
  <si>
    <t>لزوم ثمن 40 متر رملة</t>
  </si>
  <si>
    <t xml:space="preserve">لزوم ثمن يومية لودر لنقل الرملة </t>
  </si>
  <si>
    <t>لزوم ايجار ونش لزوم ثمن تشوين 40 م رملة + 100 شكارة مادة + 15 طن اسمنت</t>
  </si>
  <si>
    <t>لزوم ثمن فاتورة كلبسات لتركيب بورسلين الدور الارضي</t>
  </si>
  <si>
    <t>لزوم ثمن فاتورة حديد لزوم علب سلم الفيلا الرئيسى من اليحيى</t>
  </si>
  <si>
    <t>اعمال الرخام</t>
  </si>
  <si>
    <t>لزوم رسم معماري 3Dللدور الارضي 150 م2+ الاول العلوي150م2  بمساحة اجمالية( 300م2 * 160ج =48000) بخصم 50%</t>
  </si>
  <si>
    <t xml:space="preserve">اعمال التراخيص </t>
  </si>
  <si>
    <t xml:space="preserve">لزوم ثمن فاتورة كهرباء من اولاد فاضل </t>
  </si>
  <si>
    <t>اعمال النقاشة(خ)</t>
  </si>
  <si>
    <t>واصل دفعة اولى من  الجبسون بورد ( الاول علوي)</t>
  </si>
  <si>
    <t>واصل دفعة ثانية من  الجبسون بورد (الاول علوي)</t>
  </si>
  <si>
    <t>لزوم سابع دفعة  اعمال الجبسون بورد ( اخر دفعة من حساب الدور الارضي)</t>
  </si>
  <si>
    <t>لزوم ثمن فاتورة  3 علب حديد 10*10 طول 6 م لزوم عمدان الواجهه الامامية *1800</t>
  </si>
  <si>
    <t>لزوم ثمن فاتورة حديد السلم الدوبلكس وحديد شاسيهات ابراج البلكونات =22550+3850 +8050</t>
  </si>
  <si>
    <t xml:space="preserve">لزوم ثمن فاتورة فلسبيكو للاعمدة 5 بكرات شاش لزوم المحارة شقة الارضي وشقة من الرابع علوي  </t>
  </si>
  <si>
    <t>لزوم ثامن دفعة من اعمال جبسون بورد ( الدور الخامس علوي والشقة شمال السلم من الرابع علوي )</t>
  </si>
  <si>
    <t>لزوم تاسع دفعة من اعمال جبسون بورد (الدور الخامس علوي والشقة شمال السلم من الرابع علوي)</t>
  </si>
  <si>
    <t xml:space="preserve">واصل اول دفعة من ثمن مصنعية عزل الحمامات و المطابخ </t>
  </si>
  <si>
    <t>لزوم عاشر دفعة من اعمال جبسون بورد( الدور الخامس علوي والشقة شمال السلم من الرابع علوي)</t>
  </si>
  <si>
    <t xml:space="preserve">لزوم دفعة ثانية من مصنعية الحداد لزوم  حديد سلم الدوبلكس </t>
  </si>
  <si>
    <t>لزوم تنزيل البلاط السنجابي450 متر مربع</t>
  </si>
  <si>
    <t xml:space="preserve">لزوم ثمن اول دفعة من مصنعية البلاط السنجابي  لزوم الدوبليكس </t>
  </si>
  <si>
    <t>يوميات</t>
  </si>
  <si>
    <t>اعمال المحارة(خ)</t>
  </si>
  <si>
    <t xml:space="preserve">تحويل من جمال الجندي </t>
  </si>
  <si>
    <t>لزوم ثمن اكرامية للسواق لزوم نقل الاسمنت</t>
  </si>
  <si>
    <t xml:space="preserve">لزوم نقل دهانات بالتوكتوك </t>
  </si>
  <si>
    <t>نسبة الاشراف10%</t>
  </si>
  <si>
    <t>نسبة الاشراف7%</t>
  </si>
  <si>
    <t xml:space="preserve">لزوم ثمن 4 عتبات لزوم الحمامات300 +نقل 150 </t>
  </si>
  <si>
    <t>د.احمد سلامة</t>
  </si>
  <si>
    <t>د. جمال الجندي</t>
  </si>
  <si>
    <t>نسبة الاشراف 10%</t>
  </si>
  <si>
    <t xml:space="preserve">واصل سادس دفعة من اعمال جبس الواجهه </t>
  </si>
  <si>
    <t>واصل ثالث دفعة من مصنعية تأسيس الكهرباء لفتح الاسبوتات في الدو ر الثاني والثالث والرابع علوي</t>
  </si>
  <si>
    <t>واصل اول دفعة من شبابيك upvc</t>
  </si>
  <si>
    <t>اعمالupvc</t>
  </si>
  <si>
    <t>اعمال curtain wall</t>
  </si>
  <si>
    <t>واصل من اعمال curtain wall</t>
  </si>
  <si>
    <t xml:space="preserve">وارد من د ريم </t>
  </si>
  <si>
    <t>لزوم ثمن27 طن حديد تسليح عز بسعر 38600</t>
  </si>
  <si>
    <t>لزوم ترخيص</t>
  </si>
  <si>
    <t>اعمال الخرسانات</t>
  </si>
  <si>
    <t>اعمال التراخيص</t>
  </si>
  <si>
    <t>لزوم الدفعة الأحدى عشرمن اعمال جبسون بورد( تقفيل حساب الدور الخامس علوي والشقة شمال السلم من الرابع علوي)</t>
  </si>
  <si>
    <t>لزوم ثمن شكارة اسمنت ابيض لزوم عراميس الواجهه 190+ النقل 50</t>
  </si>
  <si>
    <t>لزوم ثمن فاتورة 6 عيدان ميتال لزوم الشاورفي الحمامات من شعبان +50 نقل</t>
  </si>
  <si>
    <t xml:space="preserve"> لزوم ثمن فواتير نقاشة من اركيم</t>
  </si>
  <si>
    <t>لزوم ثاني دفعة من مصنعية النقاش</t>
  </si>
  <si>
    <t>لزوم ثمن نقل فواتير النقاشة50+50</t>
  </si>
  <si>
    <t xml:space="preserve">لزوم ثمن 2 يومية عامل لتنظيف الشقق قبل النقاشة </t>
  </si>
  <si>
    <t xml:space="preserve">لزوم ثمن يومية بنا لزوم عمل ارفف حمامات الدور الاول علوي </t>
  </si>
  <si>
    <t>لزوم ثمن ثاني دفعة من مصنعية محارة الشقق الدور الثالث و الرابع علوي+ شقة الدور الارضي</t>
  </si>
  <si>
    <t>لزوم ثمن ثالث دفعة من مصنعية محارة الشقق الدور الثالث و الرابع علوي+ شقة الدور الارضي</t>
  </si>
  <si>
    <t>لزوم ثمن رابع دفعة من مصنعية محارة الشقق الدور الثالث و الرابع علوي+ شقة الدور الارضي</t>
  </si>
  <si>
    <t xml:space="preserve">لزوم ثمن اول دفعة  من مصنعية محارة الواجهات </t>
  </si>
  <si>
    <t xml:space="preserve">لزوم ثمن ثاني دفعة  من مصنعية محارة الواجهات </t>
  </si>
  <si>
    <t xml:space="preserve">لزوم ثمن ثالث دفعة  من مصنعية محارة الواجهات </t>
  </si>
  <si>
    <t xml:space="preserve">لزوم ثمن رابع دفعة  من مصنعية محارة الواجهات </t>
  </si>
  <si>
    <t xml:space="preserve">لزوم ثمن خامس دفعة  من مصنعية محارة الواجهات </t>
  </si>
  <si>
    <t xml:space="preserve">لزوم ثمن سادس دفعة  من مصنعية محارة الواجهات </t>
  </si>
  <si>
    <t xml:space="preserve">لزوم ثمن سابع دفعة  من مصنعية محارة الواجهات </t>
  </si>
  <si>
    <t xml:space="preserve">لزوم ثمن ثامن دفعة  من مصنعية محارة الواجهات </t>
  </si>
  <si>
    <t xml:space="preserve">لزوم ثمن تاسع دفعة  من مصنعية محارة الواجهات </t>
  </si>
  <si>
    <t xml:space="preserve">لزوم ثمن عاشر دفعة  من مصنعية محارة الواجهات </t>
  </si>
  <si>
    <t xml:space="preserve">لزوم ثمن اول دفعة من مصنعية  طرطشة للمحارة </t>
  </si>
  <si>
    <t xml:space="preserve">لزوم ثمن ثاني دفعة من مصنعية  طرطشة للمحارة </t>
  </si>
  <si>
    <t xml:space="preserve">لزوم ثمن ثالث دفعة من مصنعية  طرطشة للمحارة </t>
  </si>
  <si>
    <t xml:space="preserve">لزوم ثمن رابع دفعة من مصنعية  طرطشة للمحارة </t>
  </si>
  <si>
    <t xml:space="preserve">لزوم ثمن خامس دفعة من مصنعية  طرطشة للمحارة </t>
  </si>
  <si>
    <t xml:space="preserve">لزوم ثمن سادس دفعة من مصنعية  طرطشة للمحارة </t>
  </si>
  <si>
    <t xml:space="preserve">لزوم ثمن سابع دفعة من مصنعية  طرطشة للمحارة </t>
  </si>
  <si>
    <t xml:space="preserve">لزوم ثمن ثامن دفعة من مصنعية  طرطشة للمحارة </t>
  </si>
  <si>
    <t xml:space="preserve">لزوم ثمن تاسع دفعة من مصنعية  طرطشة للمحارة </t>
  </si>
  <si>
    <t>اعمال حمام السباحة</t>
  </si>
  <si>
    <t>لزوم ثمن فاتورة كهرباء من اولاد فاضل</t>
  </si>
  <si>
    <t>لزوم ثمن فاتورة سيراميك الحمامات لزوم الدوبليكس من محجوب</t>
  </si>
  <si>
    <t xml:space="preserve">واصل سابع دفعة من اعمال جبس الواجهه </t>
  </si>
  <si>
    <t>لزوم ثمن فاتورة الصحي لزوم الدوبليكس + شقتين من محجوب</t>
  </si>
  <si>
    <t xml:space="preserve"> فاتورة سيراميك مط لزوم رسيبشن  + حمامات شقة يمين السلم الدور الاول علوي على الواجهه</t>
  </si>
  <si>
    <t>لزوم ثمن خامس دفعة من مصنعية محارة الشقق الدور الثالث و الرابع علوي+ شقة الدور الارضي</t>
  </si>
  <si>
    <t>تشوينات الارضيات (خ)</t>
  </si>
  <si>
    <t xml:space="preserve">لزوم ثمن تشوين 40 متر رملة </t>
  </si>
  <si>
    <t xml:space="preserve">لزوم ثمن 3 طن اسمنت </t>
  </si>
  <si>
    <t>لزوم ثمن 5يوميات احمد العامل لتطليع بلاط سينجابي وترحيل رملة +تنظيف 5*350</t>
  </si>
  <si>
    <t>لزوم ثمن يوميات احمد العامل لتطليع بلاط سينجابي  +تنظيف 5*350</t>
  </si>
  <si>
    <t xml:space="preserve">لزوم ثمن اكرامية سواق عربية الاسمنت </t>
  </si>
  <si>
    <t xml:space="preserve">لزوم ثمن 2 يومية نحات لفتح عراميس الواجهه الامامية </t>
  </si>
  <si>
    <t>لزوم ثمن تشوين شكارة اسمنت ابيض 200 +50 نقل</t>
  </si>
  <si>
    <t>لزوم ثمن ايجار ونش لتشوين 40 متر رملة +3 طن اسمنت +150م بلاط سنجابي</t>
  </si>
  <si>
    <t>تشوينات الارضيات (م)</t>
  </si>
  <si>
    <t xml:space="preserve">لزوم ثمن اول دفعة مصنعية المحارة الداخلي الشقق الدور الثالث و الرابع علوي+ شقة الدور الارضي </t>
  </si>
  <si>
    <t>لزوم ثمن سادس دفعة من مصنعية محارة الداخلية (للحمامات)</t>
  </si>
  <si>
    <t>لزوم ثمن ايجار سقالة لمدة شهر45 حطة *200 (من 10-3 ل 10-4) على الواجهه الخلفية (36 الخلفية + 3 حطات تكملة الواجهه الامامية + 5 حطات تكملة لدروة الواجهه الجانبية )</t>
  </si>
  <si>
    <t xml:space="preserve">واصل ثالث دفعة من ثمن مصنعية عزل الحمامات و المطابخ </t>
  </si>
  <si>
    <t xml:space="preserve">واصل ثاني دفعة من ثمن مصنعية عزل الحمامات و المطابخ </t>
  </si>
  <si>
    <t>لزوم ثمن ثاني دفعة من مصنعية البلاط السنجابي  لزوم الدوبليكس (الدور الاول علوي)</t>
  </si>
  <si>
    <t>اعمال الارضيات(م)</t>
  </si>
  <si>
    <t>لزوم ثمن ثالث دفعة من مصنعية البلاط السنجابي  لزوم الدوبليكس (الدور الثاني علوي + حمامات الدوبليكس)</t>
  </si>
  <si>
    <t xml:space="preserve">واصل ثامن دفعة من اعمال جبس الواجهه </t>
  </si>
  <si>
    <t>لزوم ثالث دفعة من مصنعية النقاش</t>
  </si>
  <si>
    <t>لزوم مرتجع فاتورة دهانات من اكيم</t>
  </si>
  <si>
    <t>واصل رابع دفعة من مصنعية تأسيس الكهرباء لفتح الاسبوتات في الدو ر الثاني والثالث والرابع علوي</t>
  </si>
  <si>
    <t>اعمال الاستور</t>
  </si>
  <si>
    <t>اعمال النجارة</t>
  </si>
  <si>
    <t>لزوم ثمن عربية رملة</t>
  </si>
  <si>
    <t>لزوم ثمن دفعة اولى من الرخام (السلم الرئيسي من اجمالي105000)</t>
  </si>
  <si>
    <t>لزوم ثمن دفعة ثانية من الرخام (السلم الدوبليكس من اجمالي 130000)</t>
  </si>
  <si>
    <t>لزوم دفعة اولى من اعمال الابواب والتجاليد لحجز الخشب</t>
  </si>
  <si>
    <t>لزوم ثمن فاتورة 4 عيدان ميتال لزوم الشاورفي الحمامات من شعبان +50 نقل</t>
  </si>
  <si>
    <t>وارد من د محمود</t>
  </si>
  <si>
    <t>لزوم ثمن فاتورة 2 لفة سوستة بالنقل 50 ج</t>
  </si>
  <si>
    <t xml:space="preserve">لزوم تشوين 5 طن جبس </t>
  </si>
  <si>
    <t>لزوم ثمن دفعة ثالثة من الرخام (السلم الدوبليكس من اجمالي 130000)</t>
  </si>
  <si>
    <t>لزوم ثمن فاتورة كارتون</t>
  </si>
  <si>
    <t>نسبة الاشراف على التشطيبات 10%</t>
  </si>
  <si>
    <t>لزوم ثمن فاتورة مادة للزق السيراميك</t>
  </si>
  <si>
    <t>لزوم ثمن فاتورة مشابك وكلبسات</t>
  </si>
  <si>
    <t>لزوم ثمن تقفيل فاتورة من اركين لزوم المادة بالنقل</t>
  </si>
  <si>
    <t xml:space="preserve">واصل تاسع دفعة من اعمال جبس الواجهه </t>
  </si>
  <si>
    <t>لزوم ثمن يومية محارة لزوم مرمات سباكة</t>
  </si>
  <si>
    <t>لزوم ثمن رابع دفعة من مصنعية البلاط السنجابي  لزوم الدوبليكس (الدور الثاني علوي + حمامات الدوبليكس)</t>
  </si>
  <si>
    <t>واصل من اعمال الرخام لزوم السلم</t>
  </si>
  <si>
    <t>لزوم ثمن 150م بلاط سنجابي 15*20 من مصنع السعد</t>
  </si>
  <si>
    <t>لزوم ثمن فاتورة قطاع وزر لامع770 + 50 نقل</t>
  </si>
  <si>
    <t xml:space="preserve">لزوم ثمن يومية ونش لتطليع رملة وطوب وجبس </t>
  </si>
  <si>
    <t xml:space="preserve">لزوم ثمن اكرامية تنزيل بلاط سنجابي </t>
  </si>
  <si>
    <t xml:space="preserve">لزوم اكرامية للسواق لزوم نقل اربع نقلات البلاط السنجابي </t>
  </si>
  <si>
    <t>لزوم دفعة ثانية من مصنعية الاستورجي لزوم دهان الابواب</t>
  </si>
  <si>
    <t>واصل من مصنعية الدريسينج</t>
  </si>
  <si>
    <t>لزوم ثمن فاتورة عيدان فليسبيكو لزوم  محارة الشقة الاخيرة</t>
  </si>
  <si>
    <t xml:space="preserve">لزوم ثمن فاتورة اسلاك نحاس1.5مم+2مم+  3مم+ 4 مم +6مم+10م سويدي هلال </t>
  </si>
  <si>
    <t>لزوم ثمن فاتورة كابلات نت وتلفزيون  سويدي صادق</t>
  </si>
  <si>
    <t>لزوم ثمن 2 يومية لتشوين السيراميك *350</t>
  </si>
  <si>
    <t>لزوم ثمن 3 يومية احمد العامل لتنزيل البلاط السنجابي*350</t>
  </si>
  <si>
    <t>لزوم ثمن 3 يومية احمد العامل لتنزل الرخام والطوب وتنظيف الركش * 350</t>
  </si>
  <si>
    <t xml:space="preserve">لزوم ثمن فاتورة 2طن اسمنت عاده بالمشال 7460ج+ثمن 400 طوبة بالمشال 1000ج من شركة صفوة و احمد للاسمنت </t>
  </si>
  <si>
    <t>لزوم ثمن اربع نقلات مخلفات</t>
  </si>
  <si>
    <t>لزوم ثمن نقلة مخلفات</t>
  </si>
  <si>
    <t xml:space="preserve">لزوم ثمن شحن كارت الكهرباء </t>
  </si>
  <si>
    <t>اخرى</t>
  </si>
  <si>
    <t xml:space="preserve">لزوم ثمن مقشة ومساحة </t>
  </si>
  <si>
    <t>لزوم ثمن فاتورة صحي الثلاث شقق من ابو العوام</t>
  </si>
  <si>
    <t>لزوم ثمن فاتورة مادة للزق الارضيات بالنقل</t>
  </si>
  <si>
    <t>لزوم ثمن خامس دفعة من مصنعية البلاط السنجابي  لزوم الدوبليكس (الدور الثاني علوي + حمامات الدوبليكس)</t>
  </si>
  <si>
    <t>لزوم ثمن 3 يومية احمد العامل لتطليع البلاط والرمل*350</t>
  </si>
  <si>
    <t xml:space="preserve">لزوم ثمن ثامن دفعة من مصنعية محارة الداخلية </t>
  </si>
  <si>
    <t>لزوم ثمن 20 متر رملة للارضيات</t>
  </si>
  <si>
    <t xml:space="preserve">لزوم ثمن سابع دفعة من مصنعية محارة الداخلية </t>
  </si>
  <si>
    <t>التشطيبات</t>
  </si>
  <si>
    <t>واصل من اعمال الخشب (المطبخ)</t>
  </si>
  <si>
    <t>لزوم ثمن الانتريهات</t>
  </si>
  <si>
    <t>الفرش</t>
  </si>
  <si>
    <t>لزوم ثمن اجهزة كهربائية</t>
  </si>
  <si>
    <t>وارد بيد أ الاء</t>
  </si>
  <si>
    <t xml:space="preserve">بيد أ احمد الجندي </t>
  </si>
  <si>
    <t>لزوم ثمن فاتورة معجون 1480+فاتورة كرتون 770</t>
  </si>
  <si>
    <t>لزوم ثمن مقطف للنظافة</t>
  </si>
  <si>
    <t xml:space="preserve">لزوم ثمن فاتورة حدايد وكرتون ومادة من اركيم </t>
  </si>
  <si>
    <t>لزوم ثمن فاتورة اعواد فيوتك2 سم815 +4سم 1750</t>
  </si>
  <si>
    <t>أ- احمد الجندي</t>
  </si>
  <si>
    <t>لزوم ثمن فاتورة حوض مطبخ بالخلاط والصرف من محمد شعبان</t>
  </si>
  <si>
    <t>لوزم ثمن فاتورة 700 طوبة  فئة 2.2 بناء احواض الزرع في البلكونات</t>
  </si>
  <si>
    <t>لزوم دفعة ثالثة من اعمال الاسانسير من اجمالي 580000</t>
  </si>
  <si>
    <t xml:space="preserve">واصل رابع دفعة من ثمن مصنعية عزل الحمامات و المطابخ </t>
  </si>
  <si>
    <t>لزوم ثمن 6 يوميات عامل محارة لزوم مرمات  احواض الزرع وغرف السلم * 750</t>
  </si>
  <si>
    <t xml:space="preserve">واصل عاشر دفعة من اعمال جبس الواجهه </t>
  </si>
  <si>
    <t>لزوم ثمن 2 يومية عامل محارة للمرمات * 750</t>
  </si>
  <si>
    <t>لزوم ثمن سادس دفعة من مصنعية البلاط السنجابي  لزوم الدوبليكس (الدور الثاني علوي + حمامات الدوبليكس)</t>
  </si>
  <si>
    <t>لزوم ثمن 3 يومية  احمد العامل لتطليع البلاط وفرش كرتون * 350</t>
  </si>
  <si>
    <t>لزوم ثمن 3 يومية  احمد العامل لتنظيف الركش  *350</t>
  </si>
  <si>
    <t xml:space="preserve">لزوم ثمن فاتورة سيراميك من مظلوم ل 3 شقق الايجار </t>
  </si>
  <si>
    <t>لزوم ثمن فاتورة كابلات نت وتلفزيون من سويدي صادق</t>
  </si>
  <si>
    <t>وارد بيد أ أحمد الجندي</t>
  </si>
  <si>
    <t xml:space="preserve">لزوم فك وتركيب و تنظيف التكيفات </t>
  </si>
  <si>
    <t xml:space="preserve">واصل من اعمال الشبابيك الالوميتال الدور الأرضي </t>
  </si>
  <si>
    <t>وارد من د محمود لزوم فاتورة سيراميك</t>
  </si>
  <si>
    <t>لزوم فاتورة سيراميك</t>
  </si>
  <si>
    <t>لزوم ثمن فاتورة كرتون</t>
  </si>
  <si>
    <t>اعمال الكهرباء</t>
  </si>
  <si>
    <t xml:space="preserve">لزوم ثمن فاتور4 لفات خرطوم + 50 نقل </t>
  </si>
  <si>
    <t xml:space="preserve">واصل الدفعة الحادية عشر من اعمال جبس الواجهه </t>
  </si>
  <si>
    <t>لزوم ثمن توكتوك لنقل الكارتون</t>
  </si>
  <si>
    <t xml:space="preserve">لزوم ثمن فاتورة كهرباء لزوم سلك الإرث </t>
  </si>
  <si>
    <t>لزوم ثمن مصنعية كهربائي لزوم فك الاسبوتات + مصنعية نقل الإرث + مصنعية فصل كهرباء العداد</t>
  </si>
  <si>
    <t>لزوم ثمن فاتورة 2 لمبة وشريط لحام 2 ودواية</t>
  </si>
  <si>
    <t>لزوم يومية عامل لزوم تكسير 3 حوائط</t>
  </si>
  <si>
    <t>لزوم ثمن 2 شوال لتغطية البلكونات</t>
  </si>
  <si>
    <t>لزوم ثمن مصنعية كهربائي للواجهه الامامية والجانبية</t>
  </si>
  <si>
    <t>لزوم 5 يومية عامل لتظيف الركش *350</t>
  </si>
  <si>
    <t xml:space="preserve">لزوم ثمن تصميم 2D (5000) مجانا </t>
  </si>
  <si>
    <t>لزوم ثمن تصميم 3D ( 150 م*150 ج )  مجانا</t>
  </si>
  <si>
    <t>لزوم 4 نقلات ركش *650</t>
  </si>
  <si>
    <t>اعمال السباكة (خ)</t>
  </si>
  <si>
    <t xml:space="preserve">لزوم ثمن طلبات للسباك </t>
  </si>
  <si>
    <t xml:space="preserve">لزوم ثمن مصنعية السباك </t>
  </si>
  <si>
    <t>لزوم ثمن اكرامية وغدا للعمال</t>
  </si>
  <si>
    <t>لزوم ثمن فاتورة 14 لفة فليكس *100 +50 نقل</t>
  </si>
  <si>
    <t>لوزم ثمن فاتورة اربع اعواد مجناتك 850+ 50 نقل</t>
  </si>
  <si>
    <t>لزوم ثمن فاتورة كهرباء 6 لمبة + 6 دوايات + شريط لحام</t>
  </si>
  <si>
    <t>لزوم ثمن يومية عامل بهلتي لنحت بلاط خرسانية ( بير الاسانسير)</t>
  </si>
  <si>
    <t>لزوم ثمن فك ونصب السقالة من الواجهه الامامية للواجهه الخلفية</t>
  </si>
  <si>
    <t>لزوم ثمن ايجار سقالة لمدة شهر 60 حطة *200 (من18-4 ل 18-5) لزوم الواجهه الامامية والجانبية</t>
  </si>
  <si>
    <t>لزوم ثمن 2 يومية للحفر للكابلات</t>
  </si>
  <si>
    <t>لزوم ثمن نقل الكابلات</t>
  </si>
  <si>
    <t>اعمال النقل</t>
  </si>
  <si>
    <t>اكرامية لعمال توصيل الكابلات</t>
  </si>
  <si>
    <t>لزوم ثمن الجبسون بورد للشقة يمين السلم الدور الثالث</t>
  </si>
  <si>
    <t>لزوم تقفيل اعمال upvc</t>
  </si>
  <si>
    <t xml:space="preserve">لزوم تصميم 2D </t>
  </si>
  <si>
    <t>اعمال الارضيات(خ)</t>
  </si>
  <si>
    <t>اعمال التشوينات</t>
  </si>
  <si>
    <t>لزوم ثمن 2 يومية بنا * 700</t>
  </si>
  <si>
    <t>لزوم 2 يومية عامل لتطليع السيراميك</t>
  </si>
  <si>
    <t>لزوم ثمن فاتورة كهرباء من أولاد فاضل</t>
  </si>
  <si>
    <t xml:space="preserve">لزوم ثمن فاتورتيب +قفل  من اركيم </t>
  </si>
  <si>
    <t>لزوم ثمن فاتورة مادة للصق الرخام من اركيم</t>
  </si>
  <si>
    <t>لزوم ثمن فاتورة كرتون و تيب من اركيم</t>
  </si>
  <si>
    <t>لزوم ثمن يومية لنحات الكمرة</t>
  </si>
  <si>
    <t xml:space="preserve">واصل الدفعة الثانية عشر من اعمال جبس الواجهه </t>
  </si>
  <si>
    <t>لزوم ثمن خمس شكايرجبس +شكارة اسمنت ابيض</t>
  </si>
  <si>
    <t xml:space="preserve">لزوم ثمن نصب السقالة الامامية </t>
  </si>
  <si>
    <t xml:space="preserve">لزوم ثمن بنطة لعمال الاسانسير </t>
  </si>
  <si>
    <t>لزوم ثمن نقلتين مواسير و كلبسات وقواعد للسقالة</t>
  </si>
  <si>
    <t>لزوم ايجار لودر لتسوية امام الفيلا لزوم السقالة</t>
  </si>
  <si>
    <t>لزوم ثمن يومية محارة ( لصب الكاستير)</t>
  </si>
  <si>
    <t>لزوم تخريم للحوض وتكسير مكان الحائط في السيراميك</t>
  </si>
  <si>
    <t>لزوم ثمن إزالة مخلفات تكسير من العيادة</t>
  </si>
  <si>
    <t>لزوم ثمن يومية بنا وعامل</t>
  </si>
  <si>
    <t>لزوم ثمن تشوينات رمل وطوب واسمنت</t>
  </si>
  <si>
    <t>لزوم ثمن اجرة 2 عامل بهلتي وصاروخ لفتح فتحات الاسانسير (بالمقطوعية)</t>
  </si>
  <si>
    <t>لزوم ثمن تشوينات 500 طوبة + 2 شكارة اسمنت +2 جركن ادابوند</t>
  </si>
  <si>
    <t xml:space="preserve">واصل من اعمال الخشب </t>
  </si>
  <si>
    <t xml:space="preserve">لزوم ثمن فاتورة سيراميك لشقة د محمد من شعبان </t>
  </si>
  <si>
    <t>لزوم شحن كهرباء</t>
  </si>
  <si>
    <t>لزوم ثمن يومية عمال لتشوين طوب ورملة واسمنت</t>
  </si>
  <si>
    <t>لزوم ثمن تشوين طوب ورملة واسمنت بالنقل</t>
  </si>
  <si>
    <t>لزوم ثمن 3 ك معجون شروخ وشكارة بلانكو بالنقل</t>
  </si>
  <si>
    <t>لزوم اول دفعة من مصنعية الخشب (التجاليد)</t>
  </si>
  <si>
    <t>لزوم ثمن يومية نحات للحوائط الداخلية</t>
  </si>
  <si>
    <t>لزوم ثمن فاتورة سيراميك من أبو العوام لشقة د ايه وهيا</t>
  </si>
  <si>
    <t>يومية عامل محارة</t>
  </si>
  <si>
    <t>لزوم ثمن 5 يومية احمد العامل لتنظيف الركش واعمال نظافة*350 +نقل بالتوكتوك</t>
  </si>
  <si>
    <t xml:space="preserve">لزوم عامل بصاروخ  لقطع حديد الكمرة </t>
  </si>
  <si>
    <t>لزوم يومية 2 عامل لتكسير حوائط الطرقة +حوائط الجمام</t>
  </si>
  <si>
    <t xml:space="preserve">لزوم يومي عامل بنا لبناء حائط بناء الحوائط </t>
  </si>
  <si>
    <t>لزوم ثمن فاتورة تأسيس صحي (سباكة) مواسير تغذيةمن القاهرة 31000+ upv صرف + 800 نقل</t>
  </si>
  <si>
    <t xml:space="preserve">لزوم ثمن تشوينات 2 عربية رملة + 10 شكاير اسمنت + يومية </t>
  </si>
  <si>
    <t>وارد من د ريم  ايجار شهر (2+3+4)</t>
  </si>
  <si>
    <t>وارد من د ريم ايجار شهر 5</t>
  </si>
  <si>
    <t>لزوم ثمن فاتورة ماسورة 32 مم</t>
  </si>
  <si>
    <t>لزوم ثمن شكارة بلانكو + قفل</t>
  </si>
  <si>
    <t>لزوم ثمن فاتورة صحي من شعبان</t>
  </si>
  <si>
    <t>010/05/2026</t>
  </si>
  <si>
    <t xml:space="preserve">لزوم ثمن يوميات لتنزيل السيراميك </t>
  </si>
  <si>
    <t xml:space="preserve">لزوم اكرامية للسواق لزوم نقل السيراميك </t>
  </si>
  <si>
    <t>لزوم ثمن فاتورة من اركيم لزوم 30 معجون +10 سيلير</t>
  </si>
  <si>
    <t xml:space="preserve">لزوم ثمن فاتورة من اركيم لزوم عدد 50 بستلة دانيون+4 سيلير حراري+5 سيلير مقاوم +صنفرة وتنر </t>
  </si>
  <si>
    <t>لزوم ثمن فاتورة 10شكاير اسمنت</t>
  </si>
  <si>
    <t xml:space="preserve">لزوم ثمن 1000 طوبة </t>
  </si>
  <si>
    <t>لزوم ثمن 3 يوميات نحات  * 400</t>
  </si>
  <si>
    <t>لزوم جبسون بورد الحمامات  شقق الأرضي والأول علوي</t>
  </si>
  <si>
    <t>لزوم ثمن فاتورة دهانات من اركيم 4  مثبومتين بالنقل</t>
  </si>
  <si>
    <t xml:space="preserve">لزوم ثمن فاتورة عدد 10 مركز  من اركيم </t>
  </si>
  <si>
    <t xml:space="preserve">لزوم ثمن فاتورة دهانات من اركيم 30 بستلة دانيون و4 بستلة 7070 و 4 سيلير بالنقل </t>
  </si>
  <si>
    <t xml:space="preserve">لزوم ثمن فاتورة من اركيم سيلر مقاوم </t>
  </si>
  <si>
    <t xml:space="preserve">لزوم ثمن فاتورة سباكة من الطاحونة </t>
  </si>
  <si>
    <t>لوسيل</t>
  </si>
  <si>
    <t xml:space="preserve">لزوم ثمن فاتورة داهنات من اركيم </t>
  </si>
  <si>
    <t>واصل من مصنعية الحداد</t>
  </si>
  <si>
    <t xml:space="preserve">لزوم مصنعية للاستورجي </t>
  </si>
  <si>
    <t>لزوم مصنعية الكهربائى</t>
  </si>
  <si>
    <t>لزوم ثمن فاتورة سلك دش</t>
  </si>
  <si>
    <t>لزوم ثمن 3 نقلات مخلفات3 نقل مخلفات 5400 
 تكسير 600 شكاير تعبئه للرتش  150</t>
  </si>
  <si>
    <t xml:space="preserve">لزوم ثمن فاتورة كهرباء واسلاك  ولوحة مفاتيح </t>
  </si>
  <si>
    <t>اعمال النظافة</t>
  </si>
  <si>
    <t xml:space="preserve">لزوم ثمن سرة باب </t>
  </si>
  <si>
    <t xml:space="preserve">لزوم ثمن يوميات لرفع 500 طوبة الدور السادس ورفع ماكينة الاسانسير وتنزل عربية البورسلين </t>
  </si>
  <si>
    <t>لزوم ثمن اكرامية سواق عربية البورسلين</t>
  </si>
  <si>
    <t>لزوم ثمن يوميات لزوم بناء غرفة الاسانسير</t>
  </si>
  <si>
    <t xml:space="preserve">واصل من مصنعية النقاش </t>
  </si>
  <si>
    <t xml:space="preserve">واصل الدفعة الثالثة عشر من اعمال جبس الواجهه </t>
  </si>
  <si>
    <t>لزوم ثمن 4 يوميات محارة *750</t>
  </si>
  <si>
    <t>اعمال المحارة</t>
  </si>
  <si>
    <t xml:space="preserve">لزوم ثمن 10 شكاير اسمنت </t>
  </si>
  <si>
    <t>اعمال البناء</t>
  </si>
  <si>
    <t>لزوم 3 يوميات للنحات لنحت العراميس</t>
  </si>
  <si>
    <t xml:space="preserve">لزوم ثمن خمس شكاير اسمنت 1000 +150طوبة 400+ 3 عتبات متر 300 + 150 نقل </t>
  </si>
  <si>
    <t>لزوم يومية نحات بهلتي وصاروخ لتكسير بالحمام والأرض وتنزيل الركش</t>
  </si>
  <si>
    <t xml:space="preserve">لزوم يومية بنا للحمام وتركيب عتب الأبواب </t>
  </si>
  <si>
    <t>لزوم 2 يومية عامل لتشوين الطوب والاسمنت</t>
  </si>
  <si>
    <t xml:space="preserve">لزوم 2 يومية احمد العامل للنظافة </t>
  </si>
  <si>
    <t>لزوم ي2 يومية ل احمد العامل لزوم النظافة</t>
  </si>
  <si>
    <t>لزوم رابع دفعة من مصنعية النقاش</t>
  </si>
  <si>
    <t>لزوم يومية لادخال طلبات النقاشة للداخل</t>
  </si>
  <si>
    <t>لزوم ثمن نقل مخلفات من العيادة</t>
  </si>
  <si>
    <t>العميل</t>
  </si>
  <si>
    <t>المشروع</t>
  </si>
  <si>
    <t>فيلا الحي الرابع</t>
  </si>
  <si>
    <t>د.ريم علي</t>
  </si>
  <si>
    <t>(تجديد العيادة)</t>
  </si>
  <si>
    <t>(تجديد شقة قصرالثقافة)</t>
  </si>
  <si>
    <t>د.محمود عبدالعزيز</t>
  </si>
  <si>
    <t>(شقة التجمع الخامس)</t>
  </si>
  <si>
    <t>(فيلا الحي الثلاث عشر)</t>
  </si>
  <si>
    <t>م.خالد شنب</t>
  </si>
  <si>
    <t>Count of تاريخ</t>
  </si>
  <si>
    <t>Total</t>
  </si>
  <si>
    <t>اعمال التصميم</t>
  </si>
  <si>
    <t>اعمال الهدم</t>
  </si>
  <si>
    <t>اعمال السقالة</t>
  </si>
  <si>
    <t>اعمال الشفاطات</t>
  </si>
  <si>
    <t>اعمال الجبس البلدي</t>
  </si>
  <si>
    <t>اعمال الحديد(م)</t>
  </si>
  <si>
    <t>تشوينات الارضيات</t>
  </si>
  <si>
    <t>اعمال النجارة المسلحة</t>
  </si>
  <si>
    <t>اعمال التشوينات(خ)</t>
  </si>
  <si>
    <t>تشوينات</t>
  </si>
  <si>
    <t>إيرادات / مصروفات</t>
  </si>
  <si>
    <t>مصروفات</t>
  </si>
  <si>
    <t>اشراف</t>
  </si>
  <si>
    <t>البيان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</si>
</sst>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78"/>
      <scheme val="minor"/>
    </font>
    <font>
      <sz val="16"/>
      <color theme="1"/>
      <name val="Calibri"/>
      <family val="2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Calibri"/>
      <family val="2"/>
    </font>
    <font>
      <sz val="14"/>
      <name val="Aptos Narrow"/>
      <family val="2"/>
      <scheme val="minor"/>
    </font>
    <font>
      <sz val="16"/>
      <name val="Aptos Narrow"/>
      <family val="2"/>
      <scheme val="minor"/>
    </font>
    <font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0" xfId="0" pivotButton="1"/>
    <xf numFmtId="0" fontId="0" fillId="0" borderId="0" xfId="0" pivotButton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4" fontId="7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F749177F-CD5C-4A09-9496-02F758C55C95}"/>
  </cellStyles>
  <dxfs count="9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19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EAEAEA"/>
      <color rgb="FFD8D3BE"/>
      <color rgb="FF99CCFF"/>
      <color rgb="FF996633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2874159</xdr:colOff>
      <xdr:row>43</xdr:row>
      <xdr:rowOff>0</xdr:rowOff>
    </xdr:from>
    <xdr:to>
      <xdr:col>6</xdr:col>
      <xdr:colOff>2879599</xdr:colOff>
      <xdr:row>43</xdr:row>
      <xdr:rowOff>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76439DB2-D719-3005-DB44-D737D93850D3}"/>
                </a:ext>
              </a:extLst>
            </xdr14:cNvPr>
            <xdr14:cNvContentPartPr/>
          </xdr14:nvContentPartPr>
          <xdr14:nvPr macro=""/>
          <xdr14:xfrm>
            <a:off x="9595866" y="154712018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76439DB2-D719-3005-DB44-D737D93850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91546" y="154707698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0T20:58:04.855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 10936,'0'0'0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hmed Gendy" refreshedDate="46181.448189351853" createdVersion="8" refreshedVersion="8" minRefreshableVersion="3" recordCount="739" xr:uid="{9808693F-7F34-4FE3-AF38-1B715F4E1F2D}">
  <cacheSource type="worksheet">
    <worksheetSource name="Table1"/>
  </cacheSource>
  <cacheFields count="10">
    <cacheField name="العميل" numFmtId="0">
      <sharedItems count="6">
        <s v="د.احمد سلامة"/>
        <s v="د. جمال الجندي"/>
        <s v="د.ريم علي"/>
        <s v="د.محمود عبدالعزيز"/>
        <s v="م.خالد شنب"/>
        <s v="أ- احمد الجندي"/>
      </sharedItems>
    </cacheField>
    <cacheField name="المشروع" numFmtId="0">
      <sharedItems count="6">
        <s v="فيلا الحي الرابع"/>
        <s v="(تجديد العيادة)"/>
        <s v="(تجديد شقة قصرالثقافة)"/>
        <s v="(شقة التجمع الخامس)"/>
        <s v="(فيلا الحي الثلاث عشر)"/>
        <s v="لوسيل"/>
      </sharedItems>
    </cacheField>
    <cacheField name="إيرادات / مصروفات" numFmtId="0">
      <sharedItems/>
    </cacheField>
    <cacheField name="تاريخ" numFmtId="14">
      <sharedItems containsDate="1" containsMixedTypes="1" minDate="2025-03-15T00:00:00" maxDate="2026-05-26T00:00:00"/>
    </cacheField>
    <cacheField name="القسم" numFmtId="0">
      <sharedItems count="11">
        <s v="ايرادات"/>
        <s v="اعمال التصميم "/>
        <s v="اعمال التراخيص "/>
        <s v="التشطيبات"/>
        <s v="نسبة الاشراف10%"/>
        <s v="اعمال الخرسانات "/>
        <s v="نسبة الاشراف7%"/>
        <s v="نسبة الاشراف"/>
        <s v="اعمال الخرسانات"/>
        <s v="اعمال التراخيص"/>
        <s v="ألتشطيبات" u="1"/>
      </sharedItems>
    </cacheField>
    <cacheField name="البند تفصيلي" numFmtId="0">
      <sharedItems count="53">
        <s v="ايرادات"/>
        <s v="اعمال التصميم"/>
        <s v="اعمال التراخيص"/>
        <s v="اعمال الهدم"/>
        <s v="اكراميات"/>
        <s v="اعمال السباكة (خ)"/>
        <s v="اعمالupvc"/>
        <s v="اعمال البناء"/>
        <s v="اعمال السباكة (م)"/>
        <s v="اعمال التشوينات"/>
        <s v="اعمال العزل"/>
        <s v="اعمال المحارة(خ)"/>
        <s v="اعمال المحارة(م)"/>
        <s v="اعمال الكهرباء(م)"/>
        <s v="اعمال الكهرباء(خ)"/>
        <s v="اخرى"/>
        <s v="اعمال الحديد"/>
        <s v="اعمال التكيفات"/>
        <s v="اعمال النظافة"/>
        <s v="اعمال البناء (خ)"/>
        <s v="اعمال البناء (م)"/>
        <s v="يوميات"/>
        <s v="اعمال الاسانسير"/>
        <s v="اعمال حمام السباحة"/>
        <s v="اعمال السقالة"/>
        <s v="اعمال الشفاطات"/>
        <s v="اعمال الجبسون بورد"/>
        <s v="اعمال الجبس البلدي"/>
        <s v="اعمال الحديد(م)"/>
        <s v="اعمال curtain wall"/>
        <s v="اعمال الارضيات"/>
        <s v="اعمال الصحي"/>
        <s v="اعمال الارضيات(م)"/>
        <s v="اعمال الرخام"/>
        <s v="تشوينات الارضيات (خ)"/>
        <s v="تشوينات الارضيات (م)"/>
        <s v="اعمال النجارة"/>
        <s v="اعمال الارضيات(خ)"/>
        <s v="اعمال النقل"/>
        <s v="اعمال النقاشة(خ)"/>
        <s v="تشوينات الارضيات"/>
        <s v="اعمال المحارة"/>
        <s v="نسبة الاشراف10%"/>
        <s v="اعمال النجارة المسلحة"/>
        <s v="نسبة الاشراف7%"/>
        <s v="اعمال الكهرباء"/>
        <s v="اعمال النقاشة(م)"/>
        <s v="اعمال الاستور"/>
        <s v="اعمال التشوينات(خ)"/>
        <s v="نسبة الاشراف"/>
        <s v="تشوينات"/>
        <s v="الفرش"/>
        <s v="أخرى" u="1"/>
      </sharedItems>
    </cacheField>
    <cacheField name="الوصف" numFmtId="0">
      <sharedItems/>
    </cacheField>
    <cacheField name="منصرف" numFmtId="0">
      <sharedItems containsSemiMixedTypes="0" containsString="0" containsNumber="1" minValue="0" maxValue="1042200"/>
    </cacheField>
    <cacheField name="وارد" numFmtId="0">
      <sharedItems containsSemiMixedTypes="0" containsString="0" containsNumber="1" containsInteger="1" minValue="0" maxValue="1042200"/>
    </cacheField>
    <cacheField name="نسبة الاشراف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">
  <r>
    <x v="0"/>
    <x v="0"/>
    <s v="ايرادات"/>
    <d v="2025-03-15T00:00:00"/>
    <x v="0"/>
    <x v="0"/>
    <s v="وارد بيد أ- عبير"/>
    <n v="0"/>
    <n v="200000"/>
    <m/>
  </r>
  <r>
    <x v="0"/>
    <x v="0"/>
    <s v="ايرادات"/>
    <d v="2025-05-04T00:00:00"/>
    <x v="0"/>
    <x v="0"/>
    <s v="بيد د احمد سلامة"/>
    <n v="0"/>
    <n v="200000"/>
    <m/>
  </r>
  <r>
    <x v="0"/>
    <x v="0"/>
    <s v="ايرادات"/>
    <d v="2025-05-15T00:00:00"/>
    <x v="0"/>
    <x v="0"/>
    <s v="بيد د احمد سلامة"/>
    <n v="0"/>
    <n v="400000"/>
    <m/>
  </r>
  <r>
    <x v="0"/>
    <x v="0"/>
    <s v="ايرادات"/>
    <d v="2025-05-21T00:00:00"/>
    <x v="0"/>
    <x v="0"/>
    <s v="لزوم ثمن بيع  حديد الشبابيك و الابواب البانيو الزهر بيد عم عصام "/>
    <n v="0"/>
    <n v="32000"/>
    <m/>
  </r>
  <r>
    <x v="0"/>
    <x v="0"/>
    <s v="ايرادات"/>
    <d v="2025-05-28T00:00:00"/>
    <x v="0"/>
    <x v="0"/>
    <s v="لزوم ثمن بيع الأبواب الصاج "/>
    <n v="0"/>
    <n v="9500"/>
    <m/>
  </r>
  <r>
    <x v="0"/>
    <x v="0"/>
    <s v="ايرادات"/>
    <d v="2025-06-03T00:00:00"/>
    <x v="0"/>
    <x v="0"/>
    <s v="بيد د احمد سلامة"/>
    <n v="0"/>
    <n v="300000"/>
    <m/>
  </r>
  <r>
    <x v="0"/>
    <x v="0"/>
    <s v="ايرادات"/>
    <d v="2025-07-01T00:00:00"/>
    <x v="0"/>
    <x v="0"/>
    <s v="لزوم بيع الخشب "/>
    <n v="0"/>
    <n v="4500"/>
    <m/>
  </r>
  <r>
    <x v="0"/>
    <x v="0"/>
    <s v="ايرادات"/>
    <d v="2025-07-09T00:00:00"/>
    <x v="0"/>
    <x v="0"/>
    <s v="بيد د احمد سلامة"/>
    <n v="0"/>
    <n v="100000"/>
    <m/>
  </r>
  <r>
    <x v="0"/>
    <x v="0"/>
    <s v="ايرادات"/>
    <d v="2025-07-22T00:00:00"/>
    <x v="0"/>
    <x v="0"/>
    <s v="بيد د احمد سلامة"/>
    <n v="0"/>
    <n v="200000"/>
    <m/>
  </r>
  <r>
    <x v="0"/>
    <x v="0"/>
    <s v="ايرادات"/>
    <d v="2025-07-29T00:00:00"/>
    <x v="0"/>
    <x v="0"/>
    <s v="بيد د احمد سلامة"/>
    <n v="0"/>
    <n v="200000"/>
    <m/>
  </r>
  <r>
    <x v="0"/>
    <x v="0"/>
    <s v="ايرادات"/>
    <d v="2025-07-30T00:00:00"/>
    <x v="0"/>
    <x v="0"/>
    <s v="تحويل من د احمد سلامة"/>
    <n v="0"/>
    <n v="40000"/>
    <m/>
  </r>
  <r>
    <x v="0"/>
    <x v="0"/>
    <s v="ايرادات"/>
    <d v="2025-08-17T00:00:00"/>
    <x v="0"/>
    <x v="0"/>
    <s v="بيد د احمد سلامة"/>
    <n v="0"/>
    <n v="400000"/>
    <m/>
  </r>
  <r>
    <x v="0"/>
    <x v="0"/>
    <s v="ايرادات"/>
    <d v="2025-08-28T00:00:00"/>
    <x v="0"/>
    <x v="0"/>
    <s v="بيد د احمد سلامة"/>
    <n v="0"/>
    <n v="200000"/>
    <m/>
  </r>
  <r>
    <x v="0"/>
    <x v="0"/>
    <s v="ايرادات"/>
    <d v="2025-09-05T00:00:00"/>
    <x v="0"/>
    <x v="0"/>
    <s v="بيد د احمد سلامة"/>
    <n v="0"/>
    <n v="100000"/>
    <m/>
  </r>
  <r>
    <x v="0"/>
    <x v="0"/>
    <s v="ايرادات"/>
    <d v="2025-09-08T00:00:00"/>
    <x v="0"/>
    <x v="0"/>
    <s v="بيد د احمد سلامة"/>
    <n v="0"/>
    <n v="200000"/>
    <m/>
  </r>
  <r>
    <x v="0"/>
    <x v="0"/>
    <s v="ايرادات"/>
    <d v="2025-09-11T00:00:00"/>
    <x v="0"/>
    <x v="0"/>
    <s v="بيد د احمد سلامة"/>
    <n v="0"/>
    <n v="200000"/>
    <m/>
  </r>
  <r>
    <x v="0"/>
    <x v="0"/>
    <s v="ايرادات"/>
    <d v="2025-09-20T00:00:00"/>
    <x v="0"/>
    <x v="0"/>
    <s v="بيد د احمد سلامة"/>
    <n v="0"/>
    <n v="200000"/>
    <m/>
  </r>
  <r>
    <x v="0"/>
    <x v="0"/>
    <s v="ايرادات"/>
    <d v="2025-10-06T00:00:00"/>
    <x v="0"/>
    <x v="0"/>
    <s v="بيد د احمد سلامة"/>
    <n v="0"/>
    <n v="170000"/>
    <m/>
  </r>
  <r>
    <x v="0"/>
    <x v="0"/>
    <s v="ايرادات"/>
    <d v="2025-10-22T00:00:00"/>
    <x v="0"/>
    <x v="0"/>
    <s v="بيد د احمد سلامة"/>
    <n v="0"/>
    <n v="200000"/>
    <m/>
  </r>
  <r>
    <x v="0"/>
    <x v="0"/>
    <s v="ايرادات"/>
    <d v="2025-10-29T00:00:00"/>
    <x v="0"/>
    <x v="0"/>
    <s v="بيد د احمد سلامة"/>
    <n v="0"/>
    <n v="300000"/>
    <m/>
  </r>
  <r>
    <x v="0"/>
    <x v="0"/>
    <s v="ايرادات"/>
    <d v="2025-10-30T00:00:00"/>
    <x v="0"/>
    <x v="0"/>
    <s v="لزوم مرتجع فاتورة سباكة من الطاحونة "/>
    <n v="0"/>
    <n v="5300"/>
    <m/>
  </r>
  <r>
    <x v="0"/>
    <x v="0"/>
    <s v="ايرادات"/>
    <d v="2025-11-15T00:00:00"/>
    <x v="0"/>
    <x v="0"/>
    <s v="بيد د احمد سلامة"/>
    <n v="0"/>
    <n v="200000"/>
    <m/>
  </r>
  <r>
    <x v="0"/>
    <x v="0"/>
    <s v="ايرادات"/>
    <d v="2025-12-01T00:00:00"/>
    <x v="0"/>
    <x v="0"/>
    <s v="بيد د احمد سلامة"/>
    <n v="0"/>
    <n v="400000"/>
    <m/>
  </r>
  <r>
    <x v="0"/>
    <x v="0"/>
    <s v="ايرادات"/>
    <d v="2026-01-15T00:00:00"/>
    <x v="0"/>
    <x v="0"/>
    <s v="بيد د احمد سلامة"/>
    <n v="0"/>
    <n v="500000"/>
    <m/>
  </r>
  <r>
    <x v="0"/>
    <x v="0"/>
    <s v="ايرادات"/>
    <d v="2026-01-30T00:00:00"/>
    <x v="0"/>
    <x v="0"/>
    <s v="بيد د احمد سلامة"/>
    <n v="0"/>
    <n v="500000"/>
    <m/>
  </r>
  <r>
    <x v="0"/>
    <x v="0"/>
    <s v="ايرادات"/>
    <d v="2026-02-18T00:00:00"/>
    <x v="0"/>
    <x v="0"/>
    <s v="بيد د احمد سلامة"/>
    <n v="0"/>
    <n v="500000"/>
    <m/>
  </r>
  <r>
    <x v="0"/>
    <x v="0"/>
    <s v="ايرادات"/>
    <d v="2026-03-06T00:00:00"/>
    <x v="0"/>
    <x v="0"/>
    <s v="بيد د احمد سلامة"/>
    <n v="0"/>
    <n v="500000"/>
    <m/>
  </r>
  <r>
    <x v="0"/>
    <x v="0"/>
    <s v="ايرادات"/>
    <d v="2026-03-23T00:00:00"/>
    <x v="0"/>
    <x v="0"/>
    <s v="لزوم ثمن فاتورة بورسلين ريسيبشن الارضي وبورسلين باركيه لدوبليكس الاول علوي من السلاب "/>
    <n v="0"/>
    <n v="173000"/>
    <m/>
  </r>
  <r>
    <x v="0"/>
    <x v="0"/>
    <s v="ايرادات"/>
    <d v="2026-03-23T00:00:00"/>
    <x v="0"/>
    <x v="0"/>
    <s v="لزوم ثمن فاتولرة سيراميك الحمامات لزوم الدوبليكس من محجوب"/>
    <n v="0"/>
    <n v="95000"/>
    <m/>
  </r>
  <r>
    <x v="0"/>
    <x v="0"/>
    <s v="ايرادات"/>
    <d v="2026-03-23T00:00:00"/>
    <x v="0"/>
    <x v="0"/>
    <s v="لزوم ثمن فاتورة الصحي لزوم الدوبليكس + شقتين + فاتورة سيراميك مط لزوم شقة يمين السلم الدور الاول علوي عل الواجهه"/>
    <n v="0"/>
    <n v="243790"/>
    <m/>
  </r>
  <r>
    <x v="0"/>
    <x v="0"/>
    <s v="ايرادات"/>
    <d v="2026-03-23T00:00:00"/>
    <x v="0"/>
    <x v="0"/>
    <s v="لزوم ثمن فاتورة سيراميك الحمامات لزوم الدوبليكس من محجوب"/>
    <n v="0"/>
    <n v="71000"/>
    <m/>
  </r>
  <r>
    <x v="0"/>
    <x v="0"/>
    <s v="ايرادات"/>
    <d v="2026-04-09T00:00:00"/>
    <x v="0"/>
    <x v="0"/>
    <s v="بيد د احمد سلامة"/>
    <n v="0"/>
    <n v="500000"/>
    <m/>
  </r>
  <r>
    <x v="0"/>
    <x v="0"/>
    <s v="ايرادات"/>
    <d v="2026-04-16T00:00:00"/>
    <x v="0"/>
    <x v="0"/>
    <s v="بيد د احمد سلامة"/>
    <n v="0"/>
    <n v="1000000"/>
    <m/>
  </r>
  <r>
    <x v="0"/>
    <x v="0"/>
    <s v="ايرادات"/>
    <d v="2026-04-29T00:00:00"/>
    <x v="0"/>
    <x v="0"/>
    <s v="لزوم دفعة ثالثة من اعمال الاسانسير من اجمالي 580000"/>
    <n v="0"/>
    <n v="210000"/>
    <m/>
  </r>
  <r>
    <x v="0"/>
    <x v="0"/>
    <s v="ايرادات"/>
    <d v="2026-04-30T00:00:00"/>
    <x v="0"/>
    <x v="0"/>
    <s v="بيد د احمد سلامة"/>
    <n v="0"/>
    <n v="500000"/>
    <m/>
  </r>
  <r>
    <x v="0"/>
    <x v="0"/>
    <s v="ايرادات"/>
    <d v="2026-05-14T00:00:00"/>
    <x v="0"/>
    <x v="0"/>
    <s v="بيد د احمد سلامة"/>
    <n v="0"/>
    <n v="500000"/>
    <m/>
  </r>
  <r>
    <x v="0"/>
    <x v="0"/>
    <s v="مصروفات"/>
    <d v="2025-05-21T00:00:00"/>
    <x v="1"/>
    <x v="1"/>
    <s v="لزوم رسم معماري D2 (مجانا )"/>
    <n v="0"/>
    <n v="0"/>
    <m/>
  </r>
  <r>
    <x v="0"/>
    <x v="0"/>
    <s v="مصروفات"/>
    <d v="2025-05-22T00:00:00"/>
    <x v="1"/>
    <x v="1"/>
    <s v="لزوم رسم معماري للسور 3D&amp; 2D (مجانا)"/>
    <n v="0"/>
    <n v="0"/>
    <m/>
  </r>
  <r>
    <x v="0"/>
    <x v="0"/>
    <s v="مصروفات"/>
    <d v="2025-05-23T00:00:00"/>
    <x v="1"/>
    <x v="1"/>
    <s v="لزوم رسم معماري للواجهه  (واجهة أمامية 10000 ج + واجهة جانبية 10000ج= 20000 )بخصم 50% 3D"/>
    <n v="10000"/>
    <n v="0"/>
    <m/>
  </r>
  <r>
    <x v="0"/>
    <x v="0"/>
    <s v="مصروفات"/>
    <d v="2025-07-30T00:00:00"/>
    <x v="1"/>
    <x v="1"/>
    <s v="لزوم رسم معماري للجنينة (150 م * 160 ج = 24000ج) بخصم 50 % 3D"/>
    <n v="12000"/>
    <n v="0"/>
    <m/>
  </r>
  <r>
    <x v="0"/>
    <x v="0"/>
    <s v="مصروفات"/>
    <d v="2025-09-18T00:00:00"/>
    <x v="2"/>
    <x v="2"/>
    <s v="واصل من  ثمن رخص حمام السباحة والاسانسير و غرف السطح ل م /احمد  حمدان "/>
    <n v="5000"/>
    <n v="0"/>
    <m/>
  </r>
  <r>
    <x v="0"/>
    <x v="0"/>
    <s v="مصروفات"/>
    <d v="2025-11-07T00:00:00"/>
    <x v="2"/>
    <x v="2"/>
    <s v="واصل دفعة ثانية  من  ثمن رخص حمام السباحة والاسانسير و غرف السطح ل م /احمد  حمدان "/>
    <n v="3000"/>
    <n v="0"/>
    <m/>
  </r>
  <r>
    <x v="0"/>
    <x v="0"/>
    <s v="مصروفات"/>
    <d v="2025-10-30T00:00:00"/>
    <x v="1"/>
    <x v="1"/>
    <s v="لزوم ثمن رسم معماري 3D انتيريور للدور الارضي ( مساحة135 م *150ج=20250ج)خصم 50%=10125"/>
    <n v="10125"/>
    <n v="0"/>
    <m/>
  </r>
  <r>
    <x v="0"/>
    <x v="0"/>
    <s v="مصروفات"/>
    <d v="2025-10-31T00:00:00"/>
    <x v="1"/>
    <x v="1"/>
    <s v="لزوم رسم معماري 3Dللدور الارضي 150 م2+ الاول العلوي150م2  بمساحة اجمالية( 300م2 * 160ج =48000) بخصم 50%"/>
    <n v="24000"/>
    <n v="0"/>
    <m/>
  </r>
  <r>
    <x v="0"/>
    <x v="0"/>
    <s v="مصروفات"/>
    <d v="2025-04-20T00:00:00"/>
    <x v="3"/>
    <x v="3"/>
    <s v="لزوم ثمن ايجار لودر كبير 2 ساعة *500 لرفع الركش من المنطقة"/>
    <n v="1000"/>
    <n v="0"/>
    <m/>
  </r>
  <r>
    <x v="0"/>
    <x v="0"/>
    <s v="مصروفات"/>
    <d v="2025-04-23T00:00:00"/>
    <x v="3"/>
    <x v="3"/>
    <s v="لزوم ثمن ايجار2 يومية لودر صغير لحفر السور"/>
    <n v="3000"/>
    <n v="0"/>
    <m/>
  </r>
  <r>
    <x v="0"/>
    <x v="0"/>
    <s v="مصروفات"/>
    <d v="2025-05-01T00:00:00"/>
    <x v="3"/>
    <x v="3"/>
    <s v="لزوم 2 يومية عامل للحفر حاتب المواسير لزوم السور"/>
    <n v="600"/>
    <n v="0"/>
    <m/>
  </r>
  <r>
    <x v="0"/>
    <x v="0"/>
    <s v="مصروفات"/>
    <d v="2025-05-01T00:00:00"/>
    <x v="3"/>
    <x v="4"/>
    <s v="لزوم اكراميات عمال الخلاطات"/>
    <n v="400"/>
    <n v="0"/>
    <m/>
  </r>
  <r>
    <x v="0"/>
    <x v="0"/>
    <s v="مصروفات"/>
    <d v="2025-05-02T00:00:00"/>
    <x v="3"/>
    <x v="5"/>
    <s v="لزوم ثمن فاتورة صحي من الطاحونة لزوم تركيب عداد مياة "/>
    <n v="600"/>
    <n v="0"/>
    <m/>
  </r>
  <r>
    <x v="0"/>
    <x v="0"/>
    <s v="مصروفات"/>
    <d v="2025-05-09T00:00:00"/>
    <x v="3"/>
    <x v="4"/>
    <s v="لزوم اكرامية الخلاط"/>
    <n v="400"/>
    <n v="0"/>
    <m/>
  </r>
  <r>
    <x v="0"/>
    <x v="0"/>
    <s v="مصروفات"/>
    <d v="2025-05-15T00:00:00"/>
    <x v="3"/>
    <x v="6"/>
    <s v="واصل اول دفعة من شبابيك upvc"/>
    <n v="200000"/>
    <n v="0"/>
    <m/>
  </r>
  <r>
    <x v="0"/>
    <x v="0"/>
    <s v="مصروفات"/>
    <d v="2025-05-17T00:00:00"/>
    <x v="3"/>
    <x v="7"/>
    <s v="لزوم ثمن برميل عزل ساخن بالنقل"/>
    <n v="6600"/>
    <n v="0"/>
    <m/>
  </r>
  <r>
    <x v="0"/>
    <x v="0"/>
    <s v="مصروفات"/>
    <d v="2025-05-17T00:00:00"/>
    <x v="3"/>
    <x v="7"/>
    <s v="لزوم مصنعية العزل "/>
    <n v="700"/>
    <n v="0"/>
    <m/>
  </r>
  <r>
    <x v="0"/>
    <x v="0"/>
    <s v="مصروفات"/>
    <d v="2025-05-19T00:00:00"/>
    <x v="3"/>
    <x v="7"/>
    <s v="لزوم حساب فتحة كور السلم و الاسانسير في 3 ادوار والنظافة في الدور الثاني والثال وفتح الأبواب للدور الأرضي والاسانسير و الشبابيك في 3 ادوار "/>
    <n v="15000"/>
    <n v="0"/>
    <m/>
  </r>
  <r>
    <x v="0"/>
    <x v="0"/>
    <s v="مصروفات"/>
    <d v="2025-05-28T00:00:00"/>
    <x v="3"/>
    <x v="7"/>
    <s v="لزوم ثمن طن اسمنت  بالنقل"/>
    <n v="4000"/>
    <n v="0"/>
    <m/>
  </r>
  <r>
    <x v="0"/>
    <x v="0"/>
    <s v="مصروفات"/>
    <d v="2025-05-28T00:00:00"/>
    <x v="3"/>
    <x v="7"/>
    <s v="لزوم ثمن ايجار لودر للتنظيف والردم "/>
    <n v="1500"/>
    <n v="0"/>
    <m/>
  </r>
  <r>
    <x v="0"/>
    <x v="0"/>
    <s v="مصروفات"/>
    <d v="2025-05-28T00:00:00"/>
    <x v="3"/>
    <x v="7"/>
    <s v="لزوم اجور عمال للتكسير و الردم  والنظافة "/>
    <n v="3500"/>
    <n v="0"/>
    <m/>
  </r>
  <r>
    <x v="0"/>
    <x v="0"/>
    <s v="مصروفات"/>
    <d v="2025-05-28T00:00:00"/>
    <x v="3"/>
    <x v="7"/>
    <s v="لزوم يوميات بناء للشبابيك "/>
    <n v="800"/>
    <n v="0"/>
    <m/>
  </r>
  <r>
    <x v="0"/>
    <x v="0"/>
    <s v="مصروفات"/>
    <d v="2025-06-02T00:00:00"/>
    <x v="3"/>
    <x v="7"/>
    <s v="لزوم ثمن 2 ونص طن اسمنت "/>
    <n v="10350"/>
    <n v="0"/>
    <m/>
  </r>
  <r>
    <x v="0"/>
    <x v="0"/>
    <s v="مصروفات"/>
    <d v="2025-06-02T00:00:00"/>
    <x v="3"/>
    <x v="7"/>
    <s v="لزوم ثمن دفعة اولى من حساب الطوب "/>
    <n v="30000"/>
    <n v="0"/>
    <m/>
  </r>
  <r>
    <x v="0"/>
    <x v="0"/>
    <s v="مصروفات"/>
    <d v="2025-06-02T00:00:00"/>
    <x v="3"/>
    <x v="5"/>
    <s v="لزوم اول دفعة من فاتورة السباكة من الطاحونة "/>
    <n v="100000"/>
    <n v="0"/>
    <m/>
  </r>
  <r>
    <x v="0"/>
    <x v="0"/>
    <s v="مصروفات"/>
    <d v="2025-06-04T00:00:00"/>
    <x v="3"/>
    <x v="7"/>
    <s v="لزوم ثمن 11.5 الف طوبة لزوم مباني قصية الردم داخلي السور "/>
    <n v="8000"/>
    <n v="0"/>
    <m/>
  </r>
  <r>
    <x v="0"/>
    <x v="0"/>
    <s v="مصروفات"/>
    <d v="2025-06-04T00:00:00"/>
    <x v="3"/>
    <x v="7"/>
    <s v="لزوم ثمن نص طن اسمنت "/>
    <n v="2100"/>
    <n v="0"/>
    <m/>
  </r>
  <r>
    <x v="0"/>
    <x v="0"/>
    <s v="مصروفات"/>
    <d v="2025-06-04T00:00:00"/>
    <x v="3"/>
    <x v="5"/>
    <s v="لزوم ثمن 4 متر رمل لزوم المباني "/>
    <n v="1500"/>
    <n v="0"/>
    <m/>
  </r>
  <r>
    <x v="0"/>
    <x v="0"/>
    <s v="مصروفات"/>
    <d v="2025-06-04T00:00:00"/>
    <x v="3"/>
    <x v="7"/>
    <s v="لزوم مصنعية مباني قصية الردم و السور "/>
    <n v="8500"/>
    <n v="0"/>
    <m/>
  </r>
  <r>
    <x v="0"/>
    <x v="0"/>
    <s v="مصروفات"/>
    <d v="2025-06-04T00:00:00"/>
    <x v="3"/>
    <x v="8"/>
    <s v="واصل اول دفعة من حساب السباك "/>
    <n v="6000"/>
    <n v="0"/>
    <m/>
  </r>
  <r>
    <x v="0"/>
    <x v="0"/>
    <s v="مصروفات"/>
    <d v="2025-06-13T00:00:00"/>
    <x v="3"/>
    <x v="5"/>
    <s v="لزوم ثاني دفعة من فاتورة السباكة من الطاحونة "/>
    <n v="50000"/>
    <n v="0"/>
    <m/>
  </r>
  <r>
    <x v="0"/>
    <x v="0"/>
    <s v="مصروفات"/>
    <d v="2025-06-13T00:00:00"/>
    <x v="3"/>
    <x v="7"/>
    <s v="لزوم ثمن فاتورة لزوم  عزل قصية الردم والسور"/>
    <n v="6565"/>
    <n v="0"/>
    <m/>
  </r>
  <r>
    <x v="0"/>
    <x v="0"/>
    <s v="مصروفات"/>
    <d v="2025-06-13T00:00:00"/>
    <x v="3"/>
    <x v="9"/>
    <s v="لزوم ثمن 4 متر رمل لزوم السباكة "/>
    <n v="1500"/>
    <n v="0"/>
    <m/>
  </r>
  <r>
    <x v="0"/>
    <x v="0"/>
    <s v="مصروفات"/>
    <d v="2025-06-13T00:00:00"/>
    <x v="3"/>
    <x v="9"/>
    <s v="لزوم ثمن طن اسمنت لزوم السباكة "/>
    <n v="4100"/>
    <n v="0"/>
    <m/>
  </r>
  <r>
    <x v="0"/>
    <x v="0"/>
    <s v="مصروفات"/>
    <d v="2025-06-13T00:00:00"/>
    <x v="3"/>
    <x v="9"/>
    <s v="واصل 3 يومية عمال للتشوينات "/>
    <n v="1050"/>
    <n v="0"/>
    <m/>
  </r>
  <r>
    <x v="0"/>
    <x v="0"/>
    <s v="مصروفات"/>
    <d v="2025-06-13T00:00:00"/>
    <x v="3"/>
    <x v="8"/>
    <s v="واصل ثاني  دفعة من حساب السباك "/>
    <n v="6000"/>
    <n v="0"/>
    <m/>
  </r>
  <r>
    <x v="0"/>
    <x v="0"/>
    <s v="مصروفات"/>
    <d v="2025-06-15T00:00:00"/>
    <x v="3"/>
    <x v="7"/>
    <s v="لزوم ثمن باب اوضة مخزن الخامات"/>
    <n v="2500"/>
    <n v="0"/>
    <m/>
  </r>
  <r>
    <x v="0"/>
    <x v="0"/>
    <s v="مصروفات"/>
    <d v="2025-06-15T00:00:00"/>
    <x v="3"/>
    <x v="10"/>
    <s v="لزوم 2ثمن برميل عزل "/>
    <n v="13130"/>
    <n v="0"/>
    <m/>
  </r>
  <r>
    <x v="0"/>
    <x v="0"/>
    <s v="مصروفات"/>
    <d v="2025-06-15T00:00:00"/>
    <x v="3"/>
    <x v="10"/>
    <s v="لزوم مصنعية اعمال اعزل "/>
    <n v="2100"/>
    <n v="0"/>
    <m/>
  </r>
  <r>
    <x v="0"/>
    <x v="0"/>
    <s v="مصروفات"/>
    <d v="2025-06-15T00:00:00"/>
    <x v="3"/>
    <x v="10"/>
    <s v="لزوم ثمن نقل العزل "/>
    <n v="200"/>
    <n v="0"/>
    <m/>
  </r>
  <r>
    <x v="0"/>
    <x v="0"/>
    <s v="مصروفات"/>
    <d v="2025-06-21T00:00:00"/>
    <x v="3"/>
    <x v="8"/>
    <s v="واصل ثالث  دفعة من حساب السباك "/>
    <n v="6000"/>
    <n v="0"/>
    <m/>
  </r>
  <r>
    <x v="0"/>
    <x v="0"/>
    <s v="مصروفات"/>
    <d v="2025-06-21T00:00:00"/>
    <x v="3"/>
    <x v="5"/>
    <s v="لزوم ثمن 10 شكاير اسمن و 1000طوبة  لزوم غرفة الصرف "/>
    <n v="4250"/>
    <n v="0"/>
    <m/>
  </r>
  <r>
    <x v="0"/>
    <x v="0"/>
    <s v="مصروفات"/>
    <d v="2025-06-28T00:00:00"/>
    <x v="3"/>
    <x v="7"/>
    <s v="لزوم ثمن 4025 طوبة "/>
    <n v="7250"/>
    <n v="0"/>
    <m/>
  </r>
  <r>
    <x v="0"/>
    <x v="0"/>
    <s v="مصروفات"/>
    <d v="2025-06-29T00:00:00"/>
    <x v="3"/>
    <x v="7"/>
    <s v="لزوم 2 يومية بناء مساعد "/>
    <n v="1500"/>
    <n v="0"/>
    <m/>
  </r>
  <r>
    <x v="0"/>
    <x v="0"/>
    <s v="مصروفات"/>
    <d v="2025-06-30T00:00:00"/>
    <x v="3"/>
    <x v="7"/>
    <s v="لزوم يومية 8 عامل لتكسير  داكت الصرف الصحي وكشف عرفة الصرف "/>
    <n v="2800"/>
    <n v="0"/>
    <m/>
  </r>
  <r>
    <x v="0"/>
    <x v="0"/>
    <s v="مصروفات"/>
    <d v="2025-07-01T00:00:00"/>
    <x v="3"/>
    <x v="8"/>
    <s v="واصل رابع   دفعة من حساب السباك "/>
    <n v="6000"/>
    <n v="0"/>
    <m/>
  </r>
  <r>
    <x v="0"/>
    <x v="0"/>
    <s v="مصروفات"/>
    <d v="2025-07-02T00:00:00"/>
    <x v="3"/>
    <x v="7"/>
    <s v="لزوم ثمن 364 متر احلال لزوم الردم "/>
    <n v="21800"/>
    <n v="0"/>
    <m/>
  </r>
  <r>
    <x v="0"/>
    <x v="0"/>
    <s v="مصروفات"/>
    <d v="2025-07-02T00:00:00"/>
    <x v="3"/>
    <x v="7"/>
    <s v="لزوم يومية 3 لودر"/>
    <n v="4500"/>
    <n v="0"/>
    <m/>
  </r>
  <r>
    <x v="0"/>
    <x v="0"/>
    <s v="مصروفات"/>
    <d v="2025-07-02T00:00:00"/>
    <x v="3"/>
    <x v="7"/>
    <s v="لزوم يومية 3 عامل لتنزيل ناتج الركش و متابغة الردم "/>
    <n v="1050"/>
    <n v="0"/>
    <m/>
  </r>
  <r>
    <x v="0"/>
    <x v="0"/>
    <s v="مصروفات"/>
    <d v="2025-07-02T00:00:00"/>
    <x v="3"/>
    <x v="7"/>
    <s v="لزوم يومية 3 عامل لتكسير حوايط المطبخ و تنزيل ناتج الركش "/>
    <n v="1050"/>
    <n v="0"/>
    <m/>
  </r>
  <r>
    <x v="0"/>
    <x v="0"/>
    <s v="مصروفات"/>
    <d v="2025-07-07T00:00:00"/>
    <x v="3"/>
    <x v="7"/>
    <s v="لزوم ثمن دفعة اولى من حساب 15 الف طوبة لزوم اعمال المباني الداخلية و الدروة "/>
    <n v="20000"/>
    <n v="0"/>
    <m/>
  </r>
  <r>
    <x v="0"/>
    <x v="0"/>
    <s v="مصروفات"/>
    <d v="2025-07-07T00:00:00"/>
    <x v="3"/>
    <x v="11"/>
    <s v="لزوم ثمن 5 متر رمل لاعمال المباني "/>
    <n v="1200"/>
    <n v="0"/>
    <m/>
  </r>
  <r>
    <x v="0"/>
    <x v="0"/>
    <s v="مصروفات"/>
    <d v="2025-07-07T00:00:00"/>
    <x v="3"/>
    <x v="9"/>
    <s v="لزوم يومية الونش لتشوين 9 الاف طوبة  و20 طن اسمنت و 45 متر رمل لاعمال المحارة والمباني "/>
    <n v="5050"/>
    <n v="0"/>
    <m/>
  </r>
  <r>
    <x v="0"/>
    <x v="0"/>
    <s v="مصروفات"/>
    <d v="2025-07-07T00:00:00"/>
    <x v="3"/>
    <x v="11"/>
    <s v="لزوم ثمن 20 طن اسمنت لاعمال المحارة "/>
    <n v="78000"/>
    <n v="0"/>
    <m/>
  </r>
  <r>
    <x v="0"/>
    <x v="0"/>
    <s v="مصروفات"/>
    <d v="2025-07-07T00:00:00"/>
    <x v="3"/>
    <x v="7"/>
    <s v="لزوم ثمن طن اسمنت لاعمال المباني"/>
    <n v="4100"/>
    <n v="0"/>
    <m/>
  </r>
  <r>
    <x v="0"/>
    <x v="0"/>
    <s v="مصروفات"/>
    <d v="2025-07-13T00:00:00"/>
    <x v="3"/>
    <x v="11"/>
    <s v="لزوم ثمن 50متر رمل لزوم اعمال المحارة "/>
    <n v="11200"/>
    <n v="0"/>
    <m/>
  </r>
  <r>
    <x v="0"/>
    <x v="0"/>
    <s v="مصروفات"/>
    <d v="2025-07-13T00:00:00"/>
    <x v="3"/>
    <x v="11"/>
    <s v="لزوم ثمن كرتونة سلك فيبر و 75 زاوية فليسبيكو لزوم اعمال المحارة بالنقل "/>
    <n v="3400"/>
    <n v="0"/>
    <m/>
  </r>
  <r>
    <x v="0"/>
    <x v="0"/>
    <s v="مصروفات"/>
    <d v="2025-07-13T00:00:00"/>
    <x v="3"/>
    <x v="11"/>
    <s v="لزوم ثمن 2 شيكارة بلانكو خشن لزوم المحارة "/>
    <n v="300"/>
    <n v="0"/>
    <m/>
  </r>
  <r>
    <x v="0"/>
    <x v="0"/>
    <s v="مصروفات"/>
    <d v="2025-07-13T00:00:00"/>
    <x v="3"/>
    <x v="12"/>
    <s v="لزوم ثمن اول دفعة من مصنعية  طرطشة للمحارة "/>
    <n v="1000"/>
    <n v="0"/>
    <m/>
  </r>
  <r>
    <x v="0"/>
    <x v="0"/>
    <s v="مصروفات"/>
    <d v="2025-07-13T00:00:00"/>
    <x v="3"/>
    <x v="7"/>
    <s v="لزوم ثمن دفعة ثانية من ثمن الطوب عدد 25 الف طوبة للمباني "/>
    <n v="20000"/>
    <n v="0"/>
    <m/>
  </r>
  <r>
    <x v="0"/>
    <x v="0"/>
    <s v="مصروفات"/>
    <d v="2025-07-13T00:00:00"/>
    <x v="3"/>
    <x v="7"/>
    <s v="دفعة اولى من مصنعية المباني "/>
    <n v="5000"/>
    <n v="0"/>
    <m/>
  </r>
  <r>
    <x v="0"/>
    <x v="0"/>
    <s v="مصروفات"/>
    <d v="2025-07-17T00:00:00"/>
    <x v="3"/>
    <x v="7"/>
    <s v="لزوم ثمن دفعة ثالثة  من ثمن الطوب بأجمالي 38 الف طوبة  "/>
    <n v="10000"/>
    <n v="0"/>
    <m/>
  </r>
  <r>
    <x v="0"/>
    <x v="0"/>
    <s v="مصروفات"/>
    <d v="2025-07-15T00:00:00"/>
    <x v="3"/>
    <x v="12"/>
    <s v="لزوم ثمن ثاني دفعة من مصنعية  طرطشة للمحارة "/>
    <n v="4000"/>
    <n v="0"/>
    <m/>
  </r>
  <r>
    <x v="0"/>
    <x v="0"/>
    <s v="مصروفات"/>
    <d v="2025-07-15T00:00:00"/>
    <x v="3"/>
    <x v="7"/>
    <s v="لزوم ثمن 4 طن اسمنت ل اعمال المباني "/>
    <n v="16400"/>
    <n v="0"/>
    <m/>
  </r>
  <r>
    <x v="0"/>
    <x v="0"/>
    <s v="مصروفات"/>
    <d v="2025-07-15T00:00:00"/>
    <x v="3"/>
    <x v="7"/>
    <s v="لزوم ثمن عربية رمل 5 متر "/>
    <n v="1200"/>
    <n v="0"/>
    <m/>
  </r>
  <r>
    <x v="0"/>
    <x v="0"/>
    <s v="مصروفات"/>
    <d v="2025-07-15T00:00:00"/>
    <x v="3"/>
    <x v="7"/>
    <s v="لزوم يومية عامل تكسير "/>
    <n v="350"/>
    <n v="0"/>
    <m/>
  </r>
  <r>
    <x v="0"/>
    <x v="0"/>
    <s v="مصروفات"/>
    <d v="2025-07-17T00:00:00"/>
    <x v="3"/>
    <x v="7"/>
    <s v="باقي ثمن الطوب باجمالي 38 الف طوبة "/>
    <n v="16400"/>
    <n v="0"/>
    <m/>
  </r>
  <r>
    <x v="0"/>
    <x v="0"/>
    <s v="مصروفات"/>
    <d v="2025-07-17T00:00:00"/>
    <x v="3"/>
    <x v="7"/>
    <s v="دفعة ثانية من مصنعية المباني ل 38 الف طوبة "/>
    <n v="14000"/>
    <n v="0"/>
    <m/>
  </r>
  <r>
    <x v="0"/>
    <x v="0"/>
    <s v="مصروفات"/>
    <d v="2025-07-17T00:00:00"/>
    <x v="3"/>
    <x v="7"/>
    <s v="لزوم يومية 3 عمال مباني مرمات داخل الشقق"/>
    <n v="2100"/>
    <n v="0"/>
    <m/>
  </r>
  <r>
    <x v="0"/>
    <x v="0"/>
    <s v="مصروفات"/>
    <d v="2025-07-17T00:00:00"/>
    <x v="3"/>
    <x v="7"/>
    <s v="لزوم ثمن 7 عتبة لزوم اعمال المباني "/>
    <n v="600"/>
    <n v="0"/>
    <m/>
  </r>
  <r>
    <x v="0"/>
    <x v="0"/>
    <s v="مصروفات"/>
    <d v="2025-07-17T00:00:00"/>
    <x v="3"/>
    <x v="12"/>
    <s v="لزوم ثمن ثالث دفعة من مصنعية  طرطشة للمحارة "/>
    <n v="3000"/>
    <n v="0"/>
    <m/>
  </r>
  <r>
    <x v="0"/>
    <x v="0"/>
    <s v="مصروفات"/>
    <d v="2025-07-20T00:00:00"/>
    <x v="3"/>
    <x v="9"/>
    <s v="لزوم ثمن ايجار دكاك لزوم دك ارضية الدور الاول "/>
    <n v="750"/>
    <n v="0"/>
    <m/>
  </r>
  <r>
    <x v="0"/>
    <x v="0"/>
    <s v="مصروفات"/>
    <d v="2025-07-21T00:00:00"/>
    <x v="3"/>
    <x v="7"/>
    <s v="لزوم يومية 2 عامل لتشوين 2500 طوبة للسباك لتقفيل صناديق الدفن و بناء الدكت "/>
    <n v="750"/>
    <n v="0"/>
    <m/>
  </r>
  <r>
    <x v="0"/>
    <x v="0"/>
    <s v="مصروفات"/>
    <d v="2025-07-22T00:00:00"/>
    <x v="3"/>
    <x v="8"/>
    <s v="واصل خامس دفعة من حساب السباك "/>
    <n v="7000"/>
    <n v="0"/>
    <m/>
  </r>
  <r>
    <x v="0"/>
    <x v="0"/>
    <s v="مصروفات"/>
    <d v="2025-07-22T00:00:00"/>
    <x v="3"/>
    <x v="13"/>
    <s v="واصل اول دفعة من مصنعية الكهربائي "/>
    <n v="3000"/>
    <n v="0"/>
    <m/>
  </r>
  <r>
    <x v="0"/>
    <x v="0"/>
    <s v="مصروفات"/>
    <d v="2025-07-26T00:00:00"/>
    <x v="3"/>
    <x v="7"/>
    <s v="لزوم ثمن فاتورة حديد صبة ارضية الدور الاول 120 سيخ  10 لينيا حديد عز "/>
    <n v="33300"/>
    <n v="0"/>
    <m/>
  </r>
  <r>
    <x v="0"/>
    <x v="0"/>
    <s v="مصروفات"/>
    <d v="2025-07-26T00:00:00"/>
    <x v="3"/>
    <x v="14"/>
    <s v="واصلاول دفعه من  فاتورة تأسيس علب الكهرباء  والليات والمواسير واللوح من اولاد فاضل"/>
    <n v="40000"/>
    <n v="0"/>
    <m/>
  </r>
  <r>
    <x v="0"/>
    <x v="0"/>
    <s v="مصروفات"/>
    <d v="2025-07-29T00:00:00"/>
    <x v="3"/>
    <x v="15"/>
    <s v="لزوم ثمن 2 قفل للمحزن "/>
    <n v="150"/>
    <n v="0"/>
    <m/>
  </r>
  <r>
    <x v="0"/>
    <x v="0"/>
    <s v="مصروفات"/>
    <d v="2025-07-30T00:00:00"/>
    <x v="3"/>
    <x v="9"/>
    <s v="ازوم نقل مستلزمات الكهرباء و تشوينها"/>
    <n v="300"/>
    <n v="0"/>
    <m/>
  </r>
  <r>
    <x v="0"/>
    <x v="0"/>
    <s v="مصروفات"/>
    <d v="2025-07-30T00:00:00"/>
    <x v="3"/>
    <x v="7"/>
    <s v="لزوم ثمن 4 كيلو سلك رباط حدادة لزوم صبة الارضية "/>
    <n v="300"/>
    <n v="0"/>
    <m/>
  </r>
  <r>
    <x v="0"/>
    <x v="0"/>
    <s v="مصروفات"/>
    <d v="2025-07-30T00:00:00"/>
    <x v="3"/>
    <x v="7"/>
    <s v="لزوم ثمن 160 متر مشمع لزوم صب الارضية "/>
    <n v="1100"/>
    <n v="0"/>
    <m/>
  </r>
  <r>
    <x v="0"/>
    <x v="0"/>
    <s v="مصروفات"/>
    <d v="2025-07-30T00:00:00"/>
    <x v="3"/>
    <x v="7"/>
    <s v="لزوم ثمن حدادة صب الارضية "/>
    <n v="2000"/>
    <n v="0"/>
    <m/>
  </r>
  <r>
    <x v="0"/>
    <x v="0"/>
    <s v="مصروفات"/>
    <d v="2025-07-30T00:00:00"/>
    <x v="3"/>
    <x v="7"/>
    <s v="لزوم اكرامية خلاط صب الارضية "/>
    <n v="300"/>
    <n v="0"/>
    <m/>
  </r>
  <r>
    <x v="0"/>
    <x v="0"/>
    <s v="مصروفات"/>
    <d v="2025-07-30T00:00:00"/>
    <x v="3"/>
    <x v="7"/>
    <s v="واصل مصنعية صب الارضية بالخلاطة "/>
    <n v="5500"/>
    <n v="0"/>
    <m/>
  </r>
  <r>
    <x v="0"/>
    <x v="0"/>
    <s v="مصروفات"/>
    <d v="2025-07-31T00:00:00"/>
    <x v="3"/>
    <x v="7"/>
    <s v="لزوم يومية 2 عامل لنزيل ركش تكسير الكهرباء"/>
    <n v="700"/>
    <n v="0"/>
    <m/>
  </r>
  <r>
    <x v="0"/>
    <x v="0"/>
    <s v="مصروفات"/>
    <d v="2025-07-31T00:00:00"/>
    <x v="3"/>
    <x v="7"/>
    <s v="لزوم مصنعية بناء داكت الصرف الخارجي "/>
    <n v="1000"/>
    <n v="0"/>
    <m/>
  </r>
  <r>
    <x v="0"/>
    <x v="0"/>
    <s v="مصروفات"/>
    <d v="2025-07-31T00:00:00"/>
    <x v="3"/>
    <x v="8"/>
    <s v="واصل سادس دفعة من حساب السباك "/>
    <n v="2000"/>
    <n v="0"/>
    <m/>
  </r>
  <r>
    <x v="0"/>
    <x v="0"/>
    <s v="مصروفات"/>
    <d v="2025-07-31T00:00:00"/>
    <x v="3"/>
    <x v="7"/>
    <s v="لزوم ثمن 8 طن اسمنت لزوم صبة الارضية "/>
    <n v="31600"/>
    <n v="0"/>
    <m/>
  </r>
  <r>
    <x v="0"/>
    <x v="0"/>
    <s v="مصروفات"/>
    <d v="2025-07-31T00:00:00"/>
    <x v="3"/>
    <x v="7"/>
    <s v="لزوم ثمن مون صب الارضية 20 متر سن و 12 رمل "/>
    <n v="10000"/>
    <n v="0"/>
    <m/>
  </r>
  <r>
    <x v="0"/>
    <x v="0"/>
    <s v="مصروفات"/>
    <d v="2025-07-31T00:00:00"/>
    <x v="3"/>
    <x v="13"/>
    <s v="واصل ثاني دفعة من مصنعية الكهربائي "/>
    <n v="4000"/>
    <n v="0"/>
    <m/>
  </r>
  <r>
    <x v="0"/>
    <x v="0"/>
    <s v="مصروفات"/>
    <d v="2025-07-31T00:00:00"/>
    <x v="3"/>
    <x v="16"/>
    <s v="واصل دفعة اولى من حساب حديد السور والابواب "/>
    <n v="50000"/>
    <n v="0"/>
    <m/>
  </r>
  <r>
    <x v="0"/>
    <x v="0"/>
    <s v="مصروفات"/>
    <d v="2025-08-03T00:00:00"/>
    <x v="3"/>
    <x v="7"/>
    <s v="لزوم ثمن فاتورة مسامير و فيشر لزوم اعمال الكهرباء "/>
    <n v="500"/>
    <n v="0"/>
    <m/>
  </r>
  <r>
    <x v="0"/>
    <x v="0"/>
    <s v="مصروفات"/>
    <d v="2025-08-05T00:00:00"/>
    <x v="3"/>
    <x v="17"/>
    <s v="لزوم ثمن اعمال تأسيس التكيفات الاول العلوي والثاني علوي"/>
    <n v="70000"/>
    <n v="0"/>
    <m/>
  </r>
  <r>
    <x v="0"/>
    <x v="0"/>
    <s v="مصروفات"/>
    <d v="2025-08-05T00:00:00"/>
    <x v="3"/>
    <x v="7"/>
    <s v="لزوم ثمن 3500طوبة لمباني الدور الاول "/>
    <n v="5950"/>
    <n v="0"/>
    <m/>
  </r>
  <r>
    <x v="0"/>
    <x v="0"/>
    <s v="مصروفات"/>
    <d v="2025-08-05T00:00:00"/>
    <x v="3"/>
    <x v="7"/>
    <s v="لزوم ثمن 4 عتبة لزوم المباني بالتوصيل"/>
    <n v="350"/>
    <n v="0"/>
    <m/>
  </r>
  <r>
    <x v="0"/>
    <x v="0"/>
    <s v="مصروفات"/>
    <d v="2025-08-05T00:00:00"/>
    <x v="3"/>
    <x v="11"/>
    <s v="واصل من مصنعية البنا لزوم بناء حوائط الدور الارضي و تكملة السور "/>
    <n v="2700"/>
    <n v="0"/>
    <m/>
  </r>
  <r>
    <x v="0"/>
    <x v="0"/>
    <s v="مصروفات"/>
    <d v="2025-08-10T00:00:00"/>
    <x v="3"/>
    <x v="13"/>
    <s v="واصل ثالث دفعة من مصنعية الكهربائي "/>
    <n v="5000"/>
    <n v="0"/>
    <m/>
  </r>
  <r>
    <x v="0"/>
    <x v="0"/>
    <s v="مصروفات"/>
    <d v="2025-08-11T00:00:00"/>
    <x v="3"/>
    <x v="14"/>
    <s v="واصل  ثاني دفعة من  فاتورة تأسيس الكهرباء من اولاد فاضل"/>
    <n v="10000"/>
    <n v="0"/>
    <m/>
  </r>
  <r>
    <x v="0"/>
    <x v="0"/>
    <s v="مصروفات"/>
    <d v="2025-08-14T00:00:00"/>
    <x v="3"/>
    <x v="8"/>
    <s v="واصل اول دفعة من مصنعية السباك لزوم تأسيس الدور الارضي وغرف الصرف"/>
    <n v="6000"/>
    <n v="0"/>
    <m/>
  </r>
  <r>
    <x v="0"/>
    <x v="0"/>
    <s v="مصروفات"/>
    <d v="2025-08-14T00:00:00"/>
    <x v="3"/>
    <x v="7"/>
    <s v="لزوم   يومية10  عامل ويومية هلت ل حفر وتكسير غرف الصرف القديم +يومية 2 عامل لتعديل اماكن الغرف الجديدة وتكسير اماكن اشاير الاعمدة "/>
    <n v="4600"/>
    <n v="0"/>
    <m/>
  </r>
  <r>
    <x v="0"/>
    <x v="0"/>
    <s v="مصروفات"/>
    <d v="2025-08-14T00:00:00"/>
    <x v="3"/>
    <x v="18"/>
    <s v="لزوم يومية 2 عامل لتنظيف الشقق بعد التكسير الكهرباء لزوم المحارة "/>
    <n v="600"/>
    <n v="0"/>
    <m/>
  </r>
  <r>
    <x v="0"/>
    <x v="0"/>
    <s v="مصروفات"/>
    <d v="2025-08-14T00:00:00"/>
    <x v="3"/>
    <x v="12"/>
    <s v="لزوم ثمن رابع دفعة من مصنعية  طرطشة للمحارة "/>
    <n v="6000"/>
    <n v="0"/>
    <m/>
  </r>
  <r>
    <x v="0"/>
    <x v="0"/>
    <s v="مصروفات"/>
    <d v="2025-08-14T00:00:00"/>
    <x v="3"/>
    <x v="13"/>
    <s v="واصل رابع   دفعة من مصنعية الكهربائي "/>
    <n v="8000"/>
    <n v="0"/>
    <m/>
  </r>
  <r>
    <x v="0"/>
    <x v="0"/>
    <s v="مصروفات"/>
    <d v="2025-08-14T00:00:00"/>
    <x v="3"/>
    <x v="16"/>
    <s v="واصل ثالث دفعه من حساب حديد السور و الابواب "/>
    <n v="30000"/>
    <n v="0"/>
    <m/>
  </r>
  <r>
    <x v="0"/>
    <x v="0"/>
    <s v="مصروفات"/>
    <d v="2025-08-21T00:00:00"/>
    <x v="3"/>
    <x v="11"/>
    <s v="لزوم يومية ونش لتشوين 20 متر رمل و 4 طن اسمنت لزوم اعمال المحارة و الكهرباء "/>
    <n v="2200"/>
    <n v="0"/>
    <m/>
  </r>
  <r>
    <x v="0"/>
    <x v="0"/>
    <s v="مصروفات"/>
    <d v="2025-08-21T00:00:00"/>
    <x v="3"/>
    <x v="5"/>
    <s v="لزوم ثمن فاتورة 9 اغطية غرف صرف بالنقل من الطاحونة "/>
    <n v="1680"/>
    <n v="0"/>
    <m/>
  </r>
  <r>
    <x v="0"/>
    <x v="0"/>
    <s v="مصروفات"/>
    <d v="2025-08-21T00:00:00"/>
    <x v="3"/>
    <x v="11"/>
    <s v="لزوم ثمن خرطوم 20 متر لزوم توصيل مياة لاعمال المحارة والكهرباء "/>
    <n v="300"/>
    <n v="0"/>
    <m/>
  </r>
  <r>
    <x v="0"/>
    <x v="0"/>
    <s v="مصروفات"/>
    <d v="2025-08-21T00:00:00"/>
    <x v="3"/>
    <x v="11"/>
    <s v="لزوم ثمن 2 شكارة بلانكو خشن لزوم اعمال المحارة "/>
    <n v="310"/>
    <n v="0"/>
    <m/>
  </r>
  <r>
    <x v="0"/>
    <x v="0"/>
    <s v="مصروفات"/>
    <d v="2025-08-21T00:00:00"/>
    <x v="3"/>
    <x v="14"/>
    <s v="لزوم ثمن 2 بونطة للكهربائي +لزوم ثمن فاتورة اسطوانة 7سم للكهربائي"/>
    <n v="220"/>
    <n v="0"/>
    <m/>
  </r>
  <r>
    <x v="0"/>
    <x v="0"/>
    <s v="مصروفات"/>
    <d v="2025-08-21T00:00:00"/>
    <x v="3"/>
    <x v="11"/>
    <s v="لزوم ثمن فاتورة 4 طن اسمنت لزوم اعمال المحارة والكهرباء "/>
    <n v="15600"/>
    <n v="0"/>
    <m/>
  </r>
  <r>
    <x v="0"/>
    <x v="0"/>
    <s v="مصروفات"/>
    <d v="2025-08-21T00:00:00"/>
    <x v="3"/>
    <x v="11"/>
    <s v="لزوم ثمن 20 م رمل لزوم اعمال المحارة والكهرباء "/>
    <n v="4500"/>
    <n v="0"/>
    <m/>
  </r>
  <r>
    <x v="0"/>
    <x v="0"/>
    <s v="مصروفات"/>
    <d v="2025-08-21T00:00:00"/>
    <x v="3"/>
    <x v="12"/>
    <s v="لزوم ثمن خامس دفعة من مصنعية  طرطشة للمحارة "/>
    <n v="14000"/>
    <n v="0"/>
    <m/>
  </r>
  <r>
    <x v="0"/>
    <x v="0"/>
    <s v="مصروفات"/>
    <d v="2025-08-21T00:00:00"/>
    <x v="3"/>
    <x v="13"/>
    <s v="واصل خامس دفعة من مصنعية تاسيس الكهرباء"/>
    <n v="7000"/>
    <n v="0"/>
    <m/>
  </r>
  <r>
    <x v="0"/>
    <x v="0"/>
    <s v="مصروفات"/>
    <d v="2025-08-21T00:00:00"/>
    <x v="3"/>
    <x v="8"/>
    <s v="لزوم مصنعية صرف تكييف المطابخ "/>
    <n v="1000"/>
    <n v="0"/>
    <m/>
  </r>
  <r>
    <x v="0"/>
    <x v="0"/>
    <s v="مصروفات"/>
    <d v="2025-08-28T00:00:00"/>
    <x v="3"/>
    <x v="13"/>
    <s v="واصل سادس دفعة من مصنعية تاسيس الكهرباء"/>
    <n v="10000"/>
    <n v="0"/>
    <m/>
  </r>
  <r>
    <x v="0"/>
    <x v="0"/>
    <s v="مصروفات"/>
    <d v="2025-09-02T00:00:00"/>
    <x v="3"/>
    <x v="12"/>
    <s v="لزوم ثمن سادس دفعة من مصنعية  طرطشة للمحارة "/>
    <n v="10000"/>
    <n v="0"/>
    <m/>
  </r>
  <r>
    <x v="0"/>
    <x v="0"/>
    <s v="مصروفات"/>
    <d v="2025-09-02T00:00:00"/>
    <x v="3"/>
    <x v="11"/>
    <s v="لزوم ثمن شكارة بلانكو خشن لزوم المحارة "/>
    <n v="180"/>
    <n v="0"/>
    <m/>
  </r>
  <r>
    <x v="0"/>
    <x v="0"/>
    <s v="مصروفات"/>
    <d v="2025-09-05T00:00:00"/>
    <x v="3"/>
    <x v="12"/>
    <s v="لزوم ثمن سابع دفعة من مصنعية  طرطشة للمحارة "/>
    <n v="5000"/>
    <n v="0"/>
    <m/>
  </r>
  <r>
    <x v="0"/>
    <x v="0"/>
    <s v="مصروفات"/>
    <d v="2025-09-05T00:00:00"/>
    <x v="3"/>
    <x v="14"/>
    <s v="واصل  ثالث دفعة من  فاتورة تأسيس الكهرباء من اولاد فاضل"/>
    <n v="10000"/>
    <n v="0"/>
    <m/>
  </r>
  <r>
    <x v="0"/>
    <x v="0"/>
    <s v="مصروفات"/>
    <d v="2025-09-05T00:00:00"/>
    <x v="3"/>
    <x v="16"/>
    <s v="لزوم ثمن باب حديد 3550+200نقل+400 تركيب "/>
    <n v="4150"/>
    <n v="0"/>
    <m/>
  </r>
  <r>
    <x v="0"/>
    <x v="0"/>
    <s v="مصروفات"/>
    <d v="2025-09-11T00:00:00"/>
    <x v="3"/>
    <x v="11"/>
    <s v="لزوم ثمن شكارة بلانكو خشن لزوم المحارة "/>
    <n v="155"/>
    <n v="0"/>
    <m/>
  </r>
  <r>
    <x v="0"/>
    <x v="0"/>
    <s v="مصروفات"/>
    <d v="2025-09-11T00:00:00"/>
    <x v="3"/>
    <x v="7"/>
    <s v="لزوم ثمن يومية عامل لتكسير لتوسيع شبابيك المطبخ "/>
    <n v="200"/>
    <n v="0"/>
    <m/>
  </r>
  <r>
    <x v="0"/>
    <x v="0"/>
    <s v="مصروفات"/>
    <d v="2025-09-11T00:00:00"/>
    <x v="3"/>
    <x v="12"/>
    <s v="لزوم ثمن ثامن دفعة من مصنعية  طرطشة للمحارة "/>
    <n v="10000"/>
    <n v="0"/>
    <m/>
  </r>
  <r>
    <x v="0"/>
    <x v="0"/>
    <s v="مصروفات"/>
    <d v="2025-09-11T00:00:00"/>
    <x v="3"/>
    <x v="8"/>
    <s v="لزوم اخر دفعة من مصنعية السباك لتأسيس الصحي للشقق والصرف الخارجي "/>
    <n v="2500"/>
    <n v="0"/>
    <m/>
  </r>
  <r>
    <x v="0"/>
    <x v="0"/>
    <s v="مصروفات"/>
    <d v="2025-09-18T00:00:00"/>
    <x v="3"/>
    <x v="12"/>
    <s v="لزوم ثمن تاسع دفعة من مصنعية  طرطشة للمحارة "/>
    <n v="2650"/>
    <n v="0"/>
    <m/>
  </r>
  <r>
    <x v="0"/>
    <x v="0"/>
    <s v="مصروفات"/>
    <d v="2025-09-18T00:00:00"/>
    <x v="3"/>
    <x v="9"/>
    <s v="لزوم يومية 2 عامل لتشوين رمل لمحارة المطابخ وتشوين الاسمنت "/>
    <n v="700"/>
    <n v="0"/>
    <m/>
  </r>
  <r>
    <x v="0"/>
    <x v="0"/>
    <s v="مصروفات"/>
    <d v="2025-09-18T00:00:00"/>
    <x v="3"/>
    <x v="18"/>
    <s v="لزوم يومية 2 عامل لتنظيف الشقق بعد المحارة "/>
    <n v="700"/>
    <n v="0"/>
    <m/>
  </r>
  <r>
    <x v="0"/>
    <x v="0"/>
    <s v="مصروفات"/>
    <d v="2025-09-18T00:00:00"/>
    <x v="3"/>
    <x v="11"/>
    <s v="لزوم ثمن شكارة بلانكو خشن لزوم المحارة للكمر"/>
    <n v="155"/>
    <n v="0"/>
    <m/>
  </r>
  <r>
    <x v="0"/>
    <x v="0"/>
    <s v="مصروفات"/>
    <d v="2025-09-18T00:00:00"/>
    <x v="3"/>
    <x v="5"/>
    <s v="لزوم اخر دفعة من فاتورة السباكة من الطاحونة "/>
    <n v="86530"/>
    <n v="0"/>
    <m/>
  </r>
  <r>
    <x v="0"/>
    <x v="0"/>
    <s v="مصروفات"/>
    <d v="2025-09-26T00:00:00"/>
    <x v="3"/>
    <x v="16"/>
    <s v="لزوم ثمن 3 كالون ل ابواب الفيلا "/>
    <n v="1125"/>
    <n v="0"/>
    <m/>
  </r>
  <r>
    <x v="0"/>
    <x v="0"/>
    <s v="مصروفات"/>
    <d v="2025-09-26T00:00:00"/>
    <x v="3"/>
    <x v="16"/>
    <s v="واصل اخر دفعة من حساب حديد السور والابواب و (حديد السور 1243.5*55 سعر الكيلو باجمالي 90000)(حديد الابواب سعر المتر 3700 تربعهم 24.9 مترباجمالي68000) +5000 دهان السور والابوباب "/>
    <n v="83000"/>
    <n v="0"/>
    <m/>
  </r>
  <r>
    <x v="0"/>
    <x v="0"/>
    <s v="مصروفات"/>
    <d v="2025-09-26T00:00:00"/>
    <x v="3"/>
    <x v="19"/>
    <s v="لزوم ثمن 160الف طوبة حمرا دوبل سعر الالف 2600"/>
    <n v="41600"/>
    <n v="0"/>
    <m/>
  </r>
  <r>
    <x v="0"/>
    <x v="0"/>
    <s v="مصروفات"/>
    <d v="2025-09-26T00:00:00"/>
    <x v="3"/>
    <x v="19"/>
    <s v="لزوم ثمن 6 الاف طوبة اسمنتي مصمت سعر الالف 2700"/>
    <n v="16200"/>
    <n v="0"/>
    <m/>
  </r>
  <r>
    <x v="0"/>
    <x v="0"/>
    <s v="مصروفات"/>
    <d v="2025-09-26T00:00:00"/>
    <x v="3"/>
    <x v="20"/>
    <s v="واصل اول دفعة من مصنعية البنا لزوم بناء الدور الرابع والخامس"/>
    <n v="5000"/>
    <n v="0"/>
    <m/>
  </r>
  <r>
    <x v="0"/>
    <x v="0"/>
    <s v="مصروفات"/>
    <d v="2025-09-26T00:00:00"/>
    <x v="3"/>
    <x v="11"/>
    <s v="لزوم ثمن عربية رمل لمحارة الدور الارضي"/>
    <n v="1200"/>
    <n v="0"/>
    <m/>
  </r>
  <r>
    <x v="0"/>
    <x v="0"/>
    <s v="مصروفات"/>
    <d v="2025-09-26T00:00:00"/>
    <x v="3"/>
    <x v="21"/>
    <s v="لزوم ثمن 2 يومية عامل + ايجار هلتي لتكسير محارة الدور الارضي "/>
    <n v="1500"/>
    <n v="0"/>
    <m/>
  </r>
  <r>
    <x v="0"/>
    <x v="0"/>
    <s v="مصروفات"/>
    <d v="2025-09-26T00:00:00"/>
    <x v="3"/>
    <x v="9"/>
    <s v="لزوم ثمن يومية 3 عمال *350 لازالة التكسير وتشوين رمل واسمنت لمحارة الدور الارضي"/>
    <n v="1050"/>
    <n v="0"/>
    <m/>
  </r>
  <r>
    <x v="0"/>
    <x v="0"/>
    <s v="مصروفات"/>
    <d v="2025-09-26T00:00:00"/>
    <x v="3"/>
    <x v="19"/>
    <s v="لزوم ثمن 8 طن اسمنت لزوم مباني الدور الرابع والخامس "/>
    <n v="30000"/>
    <n v="0"/>
    <m/>
  </r>
  <r>
    <x v="0"/>
    <x v="0"/>
    <s v="مصروفات"/>
    <d v="2025-10-02T00:00:00"/>
    <x v="3"/>
    <x v="20"/>
    <s v="واصل ثاني دفعة من مصنعية البنا لزوم بناء الدور الرابع والخامس"/>
    <n v="5000"/>
    <n v="0"/>
    <m/>
  </r>
  <r>
    <x v="0"/>
    <x v="0"/>
    <s v="مصروفات"/>
    <d v="2025-10-02T00:00:00"/>
    <x v="3"/>
    <x v="18"/>
    <s v="لزوم ثمن يومية لودر صغير1300 + 5 نقلات ركش 6*400 لتنظيف الجنينة +350 يومية عامل"/>
    <n v="4050"/>
    <n v="0"/>
    <m/>
  </r>
  <r>
    <x v="0"/>
    <x v="0"/>
    <s v="مصروفات"/>
    <d v="2025-10-06T00:00:00"/>
    <x v="3"/>
    <x v="20"/>
    <s v="واصل اخر دفعة من مصنعية البنا لزوم بناء الدور الرابع والخامس"/>
    <n v="10500"/>
    <n v="0"/>
    <m/>
  </r>
  <r>
    <x v="0"/>
    <x v="0"/>
    <s v="مصروفات"/>
    <d v="2025-10-06T00:00:00"/>
    <x v="3"/>
    <x v="5"/>
    <s v="لزوم ثمن فاتورة سباكة لزوم صاعد مواسير الصرف والتغذية الصاعد الثالث و الرابع علوي "/>
    <n v="17700"/>
    <n v="0"/>
    <m/>
  </r>
  <r>
    <x v="0"/>
    <x v="0"/>
    <s v="مصروفات"/>
    <d v="2025-10-15T00:00:00"/>
    <x v="3"/>
    <x v="21"/>
    <s v="لزوم يومية عامل للكشف عن غرفة المياة بالشارع "/>
    <n v="350"/>
    <n v="0"/>
    <m/>
  </r>
  <r>
    <x v="0"/>
    <x v="0"/>
    <s v="مصروفات"/>
    <d v="2025-10-15T00:00:00"/>
    <x v="3"/>
    <x v="8"/>
    <s v="واصل اول دفعة  من مصنعية السباك لتغيير البطاريات وتوصيلات المواتير و مواسير تغذية المياة والصرف للدور الرابع والخامس "/>
    <n v="5000"/>
    <n v="0"/>
    <m/>
  </r>
  <r>
    <x v="0"/>
    <x v="0"/>
    <s v="مصروفات"/>
    <d v="2025-10-22T00:00:00"/>
    <x v="3"/>
    <x v="8"/>
    <s v="واصل ثاني دفعة  من مصنعية السباك لتغيير البطاريات وتوصيلات المواتير و مواسير تغذية المياة والصرف للدور الرابع والخامس "/>
    <n v="4000"/>
    <n v="0"/>
    <m/>
  </r>
  <r>
    <x v="0"/>
    <x v="0"/>
    <s v="مصروفات"/>
    <d v="2025-10-22T00:00:00"/>
    <x v="3"/>
    <x v="20"/>
    <s v="لزوم يومية لودر وكساحة نقل رايح جاي "/>
    <n v="7200"/>
    <n v="0"/>
    <m/>
  </r>
  <r>
    <x v="0"/>
    <x v="0"/>
    <s v="مصروفات"/>
    <d v="2025-10-22T00:00:00"/>
    <x v="3"/>
    <x v="4"/>
    <s v="لزوم اكرامية سواق الحفار "/>
    <n v="200"/>
    <n v="0"/>
    <m/>
  </r>
  <r>
    <x v="0"/>
    <x v="0"/>
    <s v="مصروفات"/>
    <d v="2025-10-22T00:00:00"/>
    <x v="3"/>
    <x v="9"/>
    <s v="لزوم يومية عامل تشوين الاسمنت في المخزن "/>
    <n v="350"/>
    <n v="0"/>
    <m/>
  </r>
  <r>
    <x v="0"/>
    <x v="0"/>
    <s v="مصروفات"/>
    <d v="2025-11-01T00:00:00"/>
    <x v="3"/>
    <x v="22"/>
    <s v="واصل دفعة اولى  من ثمن الانسانسير"/>
    <n v="100000"/>
    <n v="0"/>
    <m/>
  </r>
  <r>
    <x v="0"/>
    <x v="0"/>
    <s v="مصروفات"/>
    <d v="2025-11-01T00:00:00"/>
    <x v="3"/>
    <x v="14"/>
    <s v="لزوم تقفيل فاتورة كهرباء من اولاد فاضل "/>
    <n v="6200"/>
    <n v="0"/>
    <m/>
  </r>
  <r>
    <x v="0"/>
    <x v="0"/>
    <s v="مصروفات"/>
    <d v="2025-11-13T00:00:00"/>
    <x v="3"/>
    <x v="23"/>
    <s v="لزوم ثمن دفعة اولى لشركة حمام السباحة لزوم ثمن المواسير لزوم مواسير التغذية والصرف "/>
    <n v="50000"/>
    <n v="0"/>
    <m/>
  </r>
  <r>
    <x v="0"/>
    <x v="0"/>
    <s v="مصروفات"/>
    <d v="2025-11-20T00:00:00"/>
    <x v="3"/>
    <x v="7"/>
    <s v="لزوم ثمن 14 الف طوبة دوبل لزوم مباني غرفة السطح والدرة والسلم و الاسانسير وتقفيل داكت الصرف "/>
    <n v="38500"/>
    <n v="0"/>
    <m/>
  </r>
  <r>
    <x v="0"/>
    <x v="0"/>
    <s v="مصروفات"/>
    <d v="2025-11-20T00:00:00"/>
    <x v="3"/>
    <x v="7"/>
    <s v="واصل من مصنعية مباني الدورة وغرف السطح والدرة والسلم والاسانسير وتقفيل داكت الصرف بالتشوين"/>
    <n v="13000"/>
    <n v="0"/>
    <m/>
  </r>
  <r>
    <x v="0"/>
    <x v="0"/>
    <s v="مصروفات"/>
    <d v="2025-11-20T00:00:00"/>
    <x v="3"/>
    <x v="7"/>
    <s v="لزوم مصنعية عتب لغرف السطح "/>
    <n v="300"/>
    <n v="0"/>
    <m/>
  </r>
  <r>
    <x v="0"/>
    <x v="0"/>
    <s v="مصروفات"/>
    <d v="2025-11-27T00:00:00"/>
    <x v="3"/>
    <x v="23"/>
    <s v="لزوم ثمن دفعة ثانية  لشركة حمام السباحة لزوم ثمن المواسير لزوم مواسير التغذية والصرف "/>
    <n v="50000"/>
    <n v="0"/>
    <m/>
  </r>
  <r>
    <x v="0"/>
    <x v="0"/>
    <s v="مصروفات"/>
    <d v="2025-11-27T00:00:00"/>
    <x v="3"/>
    <x v="21"/>
    <s v="لزوم ثمن يومية 3عمال لتفتيح اماكن مواسير المجاري فى المباني و الردم حول حوائط الخزان "/>
    <n v="1100"/>
    <n v="0"/>
    <m/>
  </r>
  <r>
    <x v="0"/>
    <x v="0"/>
    <s v="مصروفات"/>
    <d v="2025-11-27T00:00:00"/>
    <x v="3"/>
    <x v="15"/>
    <s v="لزوم ثمن تصليح كسر ب خط المياة العمومي لبطارية الفيلا "/>
    <n v="200"/>
    <n v="0"/>
    <m/>
  </r>
  <r>
    <x v="0"/>
    <x v="0"/>
    <s v="مصروفات"/>
    <d v="2025-11-27T00:00:00"/>
    <x v="3"/>
    <x v="22"/>
    <s v="واصل دفعة ثانية  من ثمن الانسانسير"/>
    <n v="100000"/>
    <n v="0"/>
    <m/>
  </r>
  <r>
    <x v="0"/>
    <x v="0"/>
    <s v="مصروفات"/>
    <d v="2025-12-12T00:00:00"/>
    <x v="3"/>
    <x v="11"/>
    <s v="لزوم ثمن 2 جرار مكعب رمل الجرار 58 متر سعر المتر 195 لزوم محارة الواجهه "/>
    <n v="22500"/>
    <n v="0"/>
    <m/>
  </r>
  <r>
    <x v="0"/>
    <x v="0"/>
    <s v="مصروفات"/>
    <d v="2025-12-12T00:00:00"/>
    <x v="3"/>
    <x v="11"/>
    <s v="لزوم ثمن 25 طن اسمنت *3650 اسمنت حورس +250 اكرامية تنزيل "/>
    <n v="91500"/>
    <n v="0"/>
    <m/>
  </r>
  <r>
    <x v="0"/>
    <x v="0"/>
    <s v="مصروفات"/>
    <d v="2025-12-18T00:00:00"/>
    <x v="3"/>
    <x v="5"/>
    <s v="لزوم ثمن فاتورة سباكة من  الطاحونة لزوم توصيل مياة حمام السباحة "/>
    <n v="3400"/>
    <n v="0"/>
    <m/>
  </r>
  <r>
    <x v="0"/>
    <x v="0"/>
    <s v="مصروفات"/>
    <d v="2025-12-18T00:00:00"/>
    <x v="3"/>
    <x v="11"/>
    <s v="لزوم ثمن تشوين الرمل و الاسمنت لزوم المحارة للادوار العليا 23 طن اسمنت + 85 متر رمل "/>
    <n v="7700"/>
    <n v="0"/>
    <m/>
  </r>
  <r>
    <x v="0"/>
    <x v="0"/>
    <s v="مصروفات"/>
    <d v="2025-12-18T00:00:00"/>
    <x v="3"/>
    <x v="11"/>
    <s v="لزوم ثمن تشوين رمل واسمنت للارضي 3 طن اسمنت و 20 متر "/>
    <n v="2000"/>
    <n v="0"/>
    <m/>
  </r>
  <r>
    <x v="0"/>
    <x v="0"/>
    <s v="مصروفات"/>
    <d v="2025-12-18T00:00:00"/>
    <x v="3"/>
    <x v="24"/>
    <s v="لزوم ثمن ايجار سقالة لمدة شهر 60 حطة *200(من 18-12 حتى 18-1) لزوم الواجهه الامامية والجانبية "/>
    <n v="12000"/>
    <n v="0"/>
    <m/>
  </r>
  <r>
    <x v="0"/>
    <x v="0"/>
    <s v="مصروفات"/>
    <d v="2025-12-18T00:00:00"/>
    <x v="3"/>
    <x v="24"/>
    <s v="لزوم نقل السقالة وتحميلها "/>
    <n v="2300"/>
    <n v="0"/>
    <m/>
  </r>
  <r>
    <x v="0"/>
    <x v="0"/>
    <s v="مصروفات"/>
    <d v="2025-12-18T00:00:00"/>
    <x v="3"/>
    <x v="24"/>
    <s v="لزوم ثمن 4 لفة حبل شريط لزوم السقالة "/>
    <n v="240"/>
    <n v="0"/>
    <m/>
  </r>
  <r>
    <x v="0"/>
    <x v="0"/>
    <s v="مصروفات"/>
    <d v="2025-12-19T00:00:00"/>
    <x v="3"/>
    <x v="24"/>
    <s v="لزوم نصب السقالة 60 حطة *30 للتركيب +ايجار 2 لوح ب 40 +170 حبال ربط للسقالة +400 تقطيع اسياخ حديد التربيط"/>
    <n v="2410"/>
    <n v="0"/>
    <m/>
  </r>
  <r>
    <x v="0"/>
    <x v="0"/>
    <s v="مصروفات"/>
    <d v="2025-12-25T00:00:00"/>
    <x v="3"/>
    <x v="3"/>
    <s v="لزوم يومية تكسير بروز المباني في الواجهات "/>
    <n v="400"/>
    <n v="0"/>
    <m/>
  </r>
  <r>
    <x v="0"/>
    <x v="0"/>
    <s v="مصروفات"/>
    <d v="2025-12-25T00:00:00"/>
    <x v="3"/>
    <x v="7"/>
    <s v="لزوم مصنعية مباني  اكتاف الواجهه الامامية "/>
    <n v="2300"/>
    <n v="0"/>
    <m/>
  </r>
  <r>
    <x v="0"/>
    <x v="0"/>
    <s v="مصروفات"/>
    <d v="2025-12-31T00:00:00"/>
    <x v="3"/>
    <x v="7"/>
    <s v="لزوم يومية نحت الواجهه"/>
    <n v="400"/>
    <n v="0"/>
    <m/>
  </r>
  <r>
    <x v="0"/>
    <x v="0"/>
    <s v="مصروفات"/>
    <d v="2025-12-31T00:00:00"/>
    <x v="3"/>
    <x v="24"/>
    <s v="لزوم  نقل خشب للسقالة لزوم شغل الكهرباء "/>
    <n v="100"/>
    <n v="0"/>
    <m/>
  </r>
  <r>
    <x v="0"/>
    <x v="0"/>
    <s v="مصروفات"/>
    <d v="2025-12-31T00:00:00"/>
    <x v="3"/>
    <x v="25"/>
    <s v="لزوم ثمن 16 فتحة كور لزوم الشفاطات *200"/>
    <n v="3200"/>
    <n v="0"/>
    <m/>
  </r>
  <r>
    <x v="0"/>
    <x v="0"/>
    <s v="مصروفات"/>
    <d v="2025-12-31T00:00:00"/>
    <x v="3"/>
    <x v="7"/>
    <s v="لزوم فاتورة طلبات لتأسيس الواجهة"/>
    <n v="3800"/>
    <n v="0"/>
    <m/>
  </r>
  <r>
    <x v="0"/>
    <x v="0"/>
    <s v="مصروفات"/>
    <d v="2025-12-31T00:00:00"/>
    <x v="3"/>
    <x v="13"/>
    <s v="واصل اول دفعة من مصنعية تأسيس كهرباء الجهه وعلب كهرباء الوجهه للدور الرابع والخامس وتأسيس اللوحة العمومية للفيلا "/>
    <n v="15000"/>
    <n v="0"/>
    <m/>
  </r>
  <r>
    <x v="0"/>
    <x v="0"/>
    <s v="مصروفات"/>
    <d v="2025-12-31T00:00:00"/>
    <x v="3"/>
    <x v="12"/>
    <s v="لزوم ثمن اول دفعة  من مصنعية محارة الواجهات "/>
    <n v="4000"/>
    <n v="0"/>
    <m/>
  </r>
  <r>
    <x v="0"/>
    <x v="0"/>
    <s v="مصروفات"/>
    <d v="2025-12-31T00:00:00"/>
    <x v="3"/>
    <x v="7"/>
    <s v="لزوم ثمن 1500 طوبة لزوم مباني الجهه الامامية "/>
    <n v="3000"/>
    <n v="0"/>
    <m/>
  </r>
  <r>
    <x v="0"/>
    <x v="0"/>
    <s v="مصروفات"/>
    <d v="2025-12-31T00:00:00"/>
    <x v="3"/>
    <x v="7"/>
    <s v="لزوم ثمن 4000 طوبة دوبل سعر الالف طوبة 2750 و 2000 طوبة مفرد سعر الالف 1900 لزوم مباني الواجهه الخلفية  وتشوين طوب لخرونقات الحمامات وطوب لغرفة الاسانسير العلوية "/>
    <n v="14500"/>
    <n v="0"/>
    <m/>
  </r>
  <r>
    <x v="0"/>
    <x v="0"/>
    <s v="مصروفات"/>
    <d v="2025-12-31T00:00:00"/>
    <x v="3"/>
    <x v="7"/>
    <s v="لزوم ثمن 15 فتحة كور لزوم الشفاطات *250"/>
    <n v="3750"/>
    <n v="0"/>
    <m/>
  </r>
  <r>
    <x v="0"/>
    <x v="0"/>
    <s v="مصروفات"/>
    <d v="2026-01-07T00:00:00"/>
    <x v="3"/>
    <x v="12"/>
    <s v="لزوم ثمن ثاني دفعة  من مصنعية محارة الواجهات "/>
    <n v="10000"/>
    <n v="0"/>
    <m/>
  </r>
  <r>
    <x v="0"/>
    <x v="0"/>
    <s v="مصروفات"/>
    <d v="2026-01-07T00:00:00"/>
    <x v="3"/>
    <x v="7"/>
    <s v="لزوم ثمن تشوينات 2000+ مصنعية البنا 6000 لزوم بناء اكتاف الوجايه الامامية والخلفية + رفع 40 سم دروة الواجهه كلها "/>
    <n v="8000"/>
    <n v="0"/>
    <m/>
  </r>
  <r>
    <x v="0"/>
    <x v="0"/>
    <s v="مصروفات"/>
    <d v="2026-01-07T00:00:00"/>
    <x v="3"/>
    <x v="11"/>
    <s v="لزوم ثمن خمس بكرات فايبر للمحارة 500 +لزوم ثمن متر ماسورة 3 بوصة 35 "/>
    <n v="535"/>
    <n v="0"/>
    <m/>
  </r>
  <r>
    <x v="0"/>
    <x v="0"/>
    <s v="مصروفات"/>
    <d v="2026-01-13T00:00:00"/>
    <x v="3"/>
    <x v="12"/>
    <s v="لزوم ثمن ثالث دفعة  من مصنعية محارة الواجهات "/>
    <n v="2000"/>
    <n v="0"/>
    <m/>
  </r>
  <r>
    <x v="0"/>
    <x v="0"/>
    <s v="مصروفات"/>
    <d v="2026-01-13T00:00:00"/>
    <x v="3"/>
    <x v="26"/>
    <s v="واصل دفعة اولى من  الجبسون بورد ( الاول علوي)"/>
    <n v="20000"/>
    <n v="0"/>
    <m/>
  </r>
  <r>
    <x v="0"/>
    <x v="0"/>
    <s v="مصروفات"/>
    <d v="2026-01-13T00:00:00"/>
    <x v="3"/>
    <x v="17"/>
    <s v="لزوم ثمن تاسيس التكيف في الدور الارضي 14 متر *950 تجهيز تكيف 3 حصان  "/>
    <n v="13300"/>
    <n v="0"/>
    <m/>
  </r>
  <r>
    <x v="0"/>
    <x v="0"/>
    <s v="مصروفات"/>
    <d v="2026-01-13T00:00:00"/>
    <x v="3"/>
    <x v="25"/>
    <s v="واصل اول دفعة  من ثمن تأسيس الشفاطات الدور الارضى والاول والثاني علوي من اجمالي 20000"/>
    <n v="1700"/>
    <n v="0"/>
    <m/>
  </r>
  <r>
    <x v="0"/>
    <x v="0"/>
    <s v="مصروفات"/>
    <d v="2026-01-13T00:00:00"/>
    <x v="3"/>
    <x v="17"/>
    <s v="واصل دفعة من اعمال تأسيس تكيفات الدور الاول و الثاني علوي"/>
    <n v="20000"/>
    <n v="0"/>
    <m/>
  </r>
  <r>
    <x v="0"/>
    <x v="0"/>
    <s v="مصروفات"/>
    <d v="2026-01-13T00:00:00"/>
    <x v="3"/>
    <x v="26"/>
    <s v="واصل دفعة ثانية من  الجبسون بورد (الاول علوي)"/>
    <n v="20000"/>
    <n v="0"/>
    <m/>
  </r>
  <r>
    <x v="0"/>
    <x v="0"/>
    <s v="مصروفات"/>
    <d v="2026-01-13T00:00:00"/>
    <x v="3"/>
    <x v="7"/>
    <s v="لزوم ثمن 14 الف طوبة "/>
    <n v="38800"/>
    <n v="0"/>
    <m/>
  </r>
  <r>
    <x v="0"/>
    <x v="0"/>
    <s v="مصروفات"/>
    <d v="2026-01-13T00:00:00"/>
    <x v="3"/>
    <x v="7"/>
    <s v="واصل دفعة اولى من مصنعية البنا  لزوم مباني الدور الثالث والرابع علوي الداخلية 14 الف طوبة *950"/>
    <n v="5000"/>
    <n v="0"/>
    <m/>
  </r>
  <r>
    <x v="0"/>
    <x v="0"/>
    <s v="مصروفات"/>
    <d v="2026-01-13T00:00:00"/>
    <x v="3"/>
    <x v="3"/>
    <s v="لزوم ثمن 3 يوميات نحات  لنحت كمرات الواجهه 400* 3 + ايجار هلت275*3"/>
    <n v="2025"/>
    <n v="0"/>
    <m/>
  </r>
  <r>
    <x v="0"/>
    <x v="0"/>
    <s v="مصروفات"/>
    <d v="2026-01-13T00:00:00"/>
    <x v="3"/>
    <x v="12"/>
    <s v="لزوم ثمن رابع دفعة  من مصنعية محارة الواجهات "/>
    <n v="14000"/>
    <n v="0"/>
    <m/>
  </r>
  <r>
    <x v="0"/>
    <x v="0"/>
    <s v="مصروفات"/>
    <d v="2026-01-13T00:00:00"/>
    <x v="3"/>
    <x v="7"/>
    <s v="لزوم ثمن 4 طن اسمنت *3700 ل اعمال المباني الداخلية للدور الرابع والثالث علوي"/>
    <n v="14800"/>
    <n v="0"/>
    <m/>
  </r>
  <r>
    <x v="0"/>
    <x v="0"/>
    <s v="مصروفات"/>
    <d v="2026-01-13T00:00:00"/>
    <x v="3"/>
    <x v="27"/>
    <s v="واصل دفعة اولى من اعمال جبس الواجهه "/>
    <n v="50000"/>
    <n v="0"/>
    <m/>
  </r>
  <r>
    <x v="0"/>
    <x v="0"/>
    <s v="مصروفات"/>
    <d v="2026-01-13T00:00:00"/>
    <x v="3"/>
    <x v="13"/>
    <s v="واصل ثاني دفعة من مصنعية تأسيس كهرباء الجهه وعلب كهرباء الوجهه للدور الرابع والخامس وتأسيس اللوحة العمومية للفيلا "/>
    <n v="7000"/>
    <n v="0"/>
    <m/>
  </r>
  <r>
    <x v="0"/>
    <x v="0"/>
    <s v="مصروفات"/>
    <d v="2026-01-13T00:00:00"/>
    <x v="3"/>
    <x v="14"/>
    <s v="لزوم ثمن فاتورة لوحة كهرباء العمومية من اولاد فاضل "/>
    <n v="22700"/>
    <n v="0"/>
    <m/>
  </r>
  <r>
    <x v="0"/>
    <x v="0"/>
    <s v="مصروفات"/>
    <d v="2026-01-13T00:00:00"/>
    <x v="3"/>
    <x v="18"/>
    <s v="لزوم ثمن2 يوميات عمال *350 لزوم نظافة الشقق من الركش وناتج التكسير "/>
    <n v="700"/>
    <n v="0"/>
    <m/>
  </r>
  <r>
    <x v="0"/>
    <x v="0"/>
    <s v="مصروفات"/>
    <d v="2026-01-13T00:00:00"/>
    <x v="3"/>
    <x v="3"/>
    <s v="لزوم ثمن 2يومية تكسير اكتاف الواجهه الامامية + تكسر جلسة شبابيك الحمام "/>
    <n v="700"/>
    <n v="0"/>
    <m/>
  </r>
  <r>
    <x v="0"/>
    <x v="0"/>
    <s v="مصروفات"/>
    <d v="2026-01-17T00:00:00"/>
    <x v="3"/>
    <x v="14"/>
    <s v="لزوم تقفيل فاتورة كهرباء من اولاد فاضل  لزوم تاسيس كهرباء الحوائط الخارجية للدور الثالث والرابع علوي "/>
    <n v="6740"/>
    <n v="0"/>
    <m/>
  </r>
  <r>
    <x v="0"/>
    <x v="0"/>
    <s v="مصروفات"/>
    <d v="2026-01-17T00:00:00"/>
    <x v="3"/>
    <x v="25"/>
    <s v="لزوم تقفيل ثمن تأسيس الشفاطات الدور الارضى والاول والثاني علوي من اجمالي 20000"/>
    <n v="18300"/>
    <n v="0"/>
    <m/>
  </r>
  <r>
    <x v="0"/>
    <x v="0"/>
    <s v="مصروفات"/>
    <d v="2026-01-17T00:00:00"/>
    <x v="3"/>
    <x v="25"/>
    <s v="لزوم ثمن  تأسيس الشفاطات  الدور الثالث والرابع علوي من اجمالي 20000"/>
    <n v="20000"/>
    <n v="0"/>
    <m/>
  </r>
  <r>
    <x v="0"/>
    <x v="0"/>
    <s v="مصروفات"/>
    <d v="2026-01-17T00:00:00"/>
    <x v="3"/>
    <x v="25"/>
    <s v="لزوم ثمن تأسيس وصلة شفاطات زيادة لخمس مطابخ "/>
    <n v="3500"/>
    <n v="0"/>
    <m/>
  </r>
  <r>
    <x v="0"/>
    <x v="0"/>
    <s v="مصروفات"/>
    <d v="2026-01-17T00:00:00"/>
    <x v="3"/>
    <x v="25"/>
    <s v="لزوم ثمن 5 فتحات كور *250 لزوم شفاطات المطبخ الزيادة "/>
    <n v="1250"/>
    <n v="0"/>
    <m/>
  </r>
  <r>
    <x v="0"/>
    <x v="0"/>
    <s v="مصروفات"/>
    <d v="2026-01-17T00:00:00"/>
    <x v="3"/>
    <x v="17"/>
    <s v="تعديل تكيف الدور الاول على الواجهه الاماميلة لنقلة في البلكونة 4 متر *800 تكيف 1.5 حصان "/>
    <n v="3200"/>
    <n v="0"/>
    <m/>
  </r>
  <r>
    <x v="0"/>
    <x v="0"/>
    <s v="مصروفات"/>
    <d v="2026-01-17T00:00:00"/>
    <x v="3"/>
    <x v="17"/>
    <s v="لزوم ثمن تأسيس تكيفات الدور الاول  (الوصلات المسروقة) 9متر *800=7200+ تعديل خط 1500"/>
    <n v="8700"/>
    <n v="0"/>
    <m/>
  </r>
  <r>
    <x v="0"/>
    <x v="0"/>
    <s v="مصروفات"/>
    <d v="2026-01-17T00:00:00"/>
    <x v="3"/>
    <x v="17"/>
    <s v="لزوم ثمن تأسيس تكيفات الدور الثاني علوي (الوصلات المسروقة) 6.5*900=5850+10.5*900=9450+10.5*900=9450+9*800=7200"/>
    <n v="31950"/>
    <n v="0"/>
    <m/>
  </r>
  <r>
    <x v="0"/>
    <x v="0"/>
    <s v="مصروفات"/>
    <d v="2026-01-17T00:00:00"/>
    <x v="3"/>
    <x v="3"/>
    <s v="لزوم ثمن 2 يومية عامل + ايجار هلتي لتكسير محارة الدور الاول علوي + حوائط الدور الرابع علوي الواجهه الامامية + توسيع فتحات شبابيك الحمامات الواجهه الجانبية"/>
    <n v="1000"/>
    <n v="0"/>
    <m/>
  </r>
  <r>
    <x v="0"/>
    <x v="0"/>
    <s v="مصروفات"/>
    <d v="2026-01-17T00:00:00"/>
    <x v="3"/>
    <x v="20"/>
    <s v="لزوم ثمن اخر دفعة من مصنعية مباني الدور الثالث والرابع علوي الداخلية 14 الف طوبة *950"/>
    <n v="8300"/>
    <n v="0"/>
    <m/>
  </r>
  <r>
    <x v="0"/>
    <x v="0"/>
    <s v="مصروفات"/>
    <d v="2026-01-17T00:00:00"/>
    <x v="3"/>
    <x v="20"/>
    <s v="لزوم ثمن يومية بنا لزوم عمل ارفف حمامات الدور الارضي ورفع دروة السطح "/>
    <n v="950"/>
    <n v="0"/>
    <m/>
  </r>
  <r>
    <x v="0"/>
    <x v="0"/>
    <s v="مصروفات"/>
    <d v="2026-01-17T00:00:00"/>
    <x v="3"/>
    <x v="26"/>
    <s v="لزوم ثالث دفعة من اعمال الجبسون بورد (تقفيل حساب الدور الاول علوي اجمالي 90000)"/>
    <n v="50000"/>
    <n v="0"/>
    <m/>
  </r>
  <r>
    <x v="0"/>
    <x v="0"/>
    <s v="مصروفات"/>
    <d v="2026-01-17T00:00:00"/>
    <x v="3"/>
    <x v="26"/>
    <s v="لزوم رابع دفعة من اعمال الجبسون بورد (من حساب الدور الثاني علوي )"/>
    <n v="20000"/>
    <n v="0"/>
    <m/>
  </r>
  <r>
    <x v="0"/>
    <x v="0"/>
    <s v="مصروفات"/>
    <d v="2026-01-17T00:00:00"/>
    <x v="3"/>
    <x v="12"/>
    <s v="لزوم ثمن خامس دفعة  من مصنعية محارة الواجهات "/>
    <n v="10000"/>
    <n v="0"/>
    <m/>
  </r>
  <r>
    <x v="0"/>
    <x v="0"/>
    <s v="مصروفات"/>
    <d v="2026-01-17T00:00:00"/>
    <x v="3"/>
    <x v="5"/>
    <s v="لزوم ثمن اول دفعة من  فاتورة  الصحي لزوم تأسيس سباكة الدور الثالث والرابع علوي من الطاحونة من اجمالي 143000"/>
    <n v="50000"/>
    <n v="0"/>
    <m/>
  </r>
  <r>
    <x v="0"/>
    <x v="0"/>
    <s v="مصروفات"/>
    <d v="2026-02-13T00:00:00"/>
    <x v="3"/>
    <x v="24"/>
    <s v="لزوم ثمن ايجار سقالة لمدة شهر 60 حطة *200 (من 18-1 ل 18-2) لزوم الواجهه الامامية والجانبية"/>
    <n v="12000"/>
    <n v="0"/>
    <m/>
  </r>
  <r>
    <x v="0"/>
    <x v="0"/>
    <s v="مصروفات"/>
    <d v="2026-01-30T00:00:00"/>
    <x v="3"/>
    <x v="26"/>
    <s v="لزوم خامس دفعة من اعمال الجبسون بورد (تقفيل حساب الدور الثاني علوي اجمالي 90000)"/>
    <n v="70000"/>
    <n v="0"/>
    <m/>
  </r>
  <r>
    <x v="0"/>
    <x v="0"/>
    <s v="مصروفات"/>
    <d v="2026-01-30T00:00:00"/>
    <x v="3"/>
    <x v="26"/>
    <s v="لزوم سادس دفعة اعمال الجبسون بورد ( اول دفعة من حساب الدور الارضي)"/>
    <n v="10000"/>
    <n v="0"/>
    <m/>
  </r>
  <r>
    <x v="0"/>
    <x v="0"/>
    <s v="مصروفات"/>
    <d v="2026-01-30T00:00:00"/>
    <x v="3"/>
    <x v="12"/>
    <s v="لزوم ثمن سادس دفعة  من مصنعية محارة الواجهات "/>
    <n v="10000"/>
    <n v="0"/>
    <m/>
  </r>
  <r>
    <x v="0"/>
    <x v="0"/>
    <s v="مصروفات"/>
    <d v="2026-01-30T00:00:00"/>
    <x v="3"/>
    <x v="13"/>
    <s v="واصل اول دفعة من مصنعية اعمال الكهرباء الدور الثالث والرابع علوي"/>
    <n v="10000"/>
    <n v="0"/>
    <m/>
  </r>
  <r>
    <x v="0"/>
    <x v="0"/>
    <s v="مصروفات"/>
    <d v="2026-01-30T00:00:00"/>
    <x v="3"/>
    <x v="14"/>
    <s v="واصل من فاتورة اعمال الكهرباء من اولاد فاضل لزوم اعواد المجناتيك للجبسون بورد "/>
    <n v="10000"/>
    <n v="0"/>
    <m/>
  </r>
  <r>
    <x v="0"/>
    <x v="0"/>
    <s v="مصروفات"/>
    <d v="2026-01-30T00:00:00"/>
    <x v="3"/>
    <x v="14"/>
    <s v="واصل اول دفعة من فاتورة اعمال الكهرباء من اولاد فاضل لزوم تاسيس الحوائط الداخلية للدور الرابع  والخامس العلوي "/>
    <n v="10000"/>
    <n v="0"/>
    <m/>
  </r>
  <r>
    <x v="0"/>
    <x v="0"/>
    <s v="مصروفات"/>
    <d v="2026-01-30T00:00:00"/>
    <x v="3"/>
    <x v="8"/>
    <s v="واصل اول دفعة من مصنعية السباك لزوم تاسيس حمامات ومطابخ الدور الرابع والخامس "/>
    <n v="10000"/>
    <n v="0"/>
    <m/>
  </r>
  <r>
    <x v="0"/>
    <x v="0"/>
    <s v="مصروفات"/>
    <d v="2026-01-30T00:00:00"/>
    <x v="3"/>
    <x v="5"/>
    <s v="لزوم ثمن ثاني دفعة من  فاتورة  الصحي لزوم تأسيس سباكة الدور الثالث والرابع علوي من الطاحونة من اجمالي 143000"/>
    <n v="50000"/>
    <n v="0"/>
    <m/>
  </r>
  <r>
    <x v="0"/>
    <x v="0"/>
    <s v="مصروفات"/>
    <d v="2026-01-30T00:00:00"/>
    <x v="3"/>
    <x v="3"/>
    <s v="لزوم ثمن يومية عامل بالهيلت والصاروخ لتكسير و قص كمرة السلم البارزة وقص الاسياخ الحديد لفتحة السلم الدوبليكس +قص اشاير العمدان لغرف السطح الجزء الخلفي 650 + يومية عامل لتنظيف ركش الحمامات للسباك350+يومية عامل 350"/>
    <n v="1350"/>
    <n v="0"/>
    <m/>
  </r>
  <r>
    <x v="0"/>
    <x v="0"/>
    <s v="مصروفات"/>
    <d v="2026-02-05T00:00:00"/>
    <x v="3"/>
    <x v="26"/>
    <s v="لزوم سابع دفعة  اعمال الجبسون بورد ( اخر دفعة من حساب الدور الارضي)"/>
    <n v="35000"/>
    <n v="0"/>
    <m/>
  </r>
  <r>
    <x v="0"/>
    <x v="0"/>
    <s v="مصروفات"/>
    <d v="2026-02-05T00:00:00"/>
    <x v="3"/>
    <x v="17"/>
    <s v="لزوم ثمن تأسيس تكيفات الدور الرابع علوي30م * 800 تكيفات 1.5 حصان للغرف + 35م*950 وصلات 3 حصان للريسبشن "/>
    <n v="57250"/>
    <n v="0"/>
    <m/>
  </r>
  <r>
    <x v="0"/>
    <x v="0"/>
    <s v="مصروفات"/>
    <d v="2026-02-05T00:00:00"/>
    <x v="3"/>
    <x v="17"/>
    <s v="لزوم ثمن دفعة اولي من  تأسيس تكيفات الدور الثالث علوي والرابع علوي ( من اجمالي امتار 12م * 800لزوم تكيفات 1.5 حصان للغرف+35م *950 للرسيبشن = 42850)"/>
    <n v="22750"/>
    <n v="0"/>
    <m/>
  </r>
  <r>
    <x v="0"/>
    <x v="0"/>
    <s v="مصروفات"/>
    <d v="2026-02-05T00:00:00"/>
    <x v="3"/>
    <x v="12"/>
    <s v="لزوم ثمن سابع دفعة  من مصنعية محارة الواجهات "/>
    <n v="15000"/>
    <n v="0"/>
    <m/>
  </r>
  <r>
    <x v="0"/>
    <x v="0"/>
    <s v="مصروفات"/>
    <d v="2026-02-05T00:00:00"/>
    <x v="3"/>
    <x v="13"/>
    <s v="واصل ثاني دفعة من مصنعية اعمال الكهرباء الدور الثالث والرابع علوي"/>
    <n v="10000"/>
    <n v="0"/>
    <m/>
  </r>
  <r>
    <x v="0"/>
    <x v="0"/>
    <s v="مصروفات"/>
    <d v="2026-02-05T00:00:00"/>
    <x v="3"/>
    <x v="14"/>
    <s v="واصل ثاني دفعة من فاتورة اعمال الكهرباء من اولاد فاضل لزوم تاسيس الحوائط الداخلية للدور الرابع  والخامس العلوي "/>
    <n v="20000"/>
    <n v="0"/>
    <m/>
  </r>
  <r>
    <x v="0"/>
    <x v="0"/>
    <s v="مصروفات"/>
    <d v="2026-02-05T00:00:00"/>
    <x v="3"/>
    <x v="5"/>
    <s v="لزوم ثمن ثالث دفعة من  فاتورة  الصحي لزوم تأسيس سباكة الدور الثالث والرابع علوي من الطاحونة من اجمالي 143000"/>
    <n v="20000"/>
    <n v="0"/>
    <m/>
  </r>
  <r>
    <x v="0"/>
    <x v="0"/>
    <s v="مصروفات"/>
    <d v="2026-02-05T00:00:00"/>
    <x v="3"/>
    <x v="8"/>
    <s v="واصل ثاني  دفعة من مصنعية السباك لزوم تاسيس حمامات ومطابخ الدور الرابع والخامس "/>
    <n v="7000"/>
    <n v="0"/>
    <m/>
  </r>
  <r>
    <x v="0"/>
    <x v="0"/>
    <s v="مصروفات"/>
    <d v="2026-02-05T00:00:00"/>
    <x v="3"/>
    <x v="27"/>
    <s v="واصل دفعة ثانية من اعمال جبس الواجهه "/>
    <n v="50000"/>
    <n v="0"/>
    <m/>
  </r>
  <r>
    <x v="0"/>
    <x v="0"/>
    <s v="مصروفات"/>
    <d v="2026-02-05T00:00:00"/>
    <x v="3"/>
    <x v="16"/>
    <s v="لزوم ثمن فاتورة  3 علب حديد 10*10 طول 6 م لزوم عمدان الواجهه الامامية *1800"/>
    <n v="6650"/>
    <n v="0"/>
    <m/>
  </r>
  <r>
    <x v="0"/>
    <x v="0"/>
    <s v="مصروفات"/>
    <d v="2026-02-05T00:00:00"/>
    <x v="3"/>
    <x v="9"/>
    <s v="لزوم ثمن 2عربية رملة "/>
    <n v="2500"/>
    <n v="0"/>
    <m/>
  </r>
  <r>
    <x v="0"/>
    <x v="0"/>
    <s v="مصروفات"/>
    <d v="2026-02-05T00:00:00"/>
    <x v="3"/>
    <x v="9"/>
    <s v="لزوم ثمن ايجار ونش لرفع 5000 طوبة "/>
    <n v="1850"/>
    <n v="0"/>
    <m/>
  </r>
  <r>
    <x v="0"/>
    <x v="0"/>
    <s v="مصروفات"/>
    <d v="2026-02-05T00:00:00"/>
    <x v="3"/>
    <x v="9"/>
    <s v="لزوم ثمن 5000 طوبة فرداني *1750 لتكملة مباني الدور الثالث والرابع علوي ومباني خزانات دفن القواعد وارفف الحمامات وجلسة السلم "/>
    <n v="8750"/>
    <n v="0"/>
    <m/>
  </r>
  <r>
    <x v="0"/>
    <x v="0"/>
    <s v="مصروفات"/>
    <d v="2026-02-05T00:00:00"/>
    <x v="3"/>
    <x v="17"/>
    <s v="لزوم ثمن ايجار كور لفتح 10 فتحات 6 بوصة *250 لزوم تكيفات الدور الثالث والرابع علوي لوصلها بالسطح "/>
    <n v="2500"/>
    <n v="0"/>
    <m/>
  </r>
  <r>
    <x v="0"/>
    <x v="0"/>
    <s v="مصروفات"/>
    <d v="2026-02-05T00:00:00"/>
    <x v="3"/>
    <x v="7"/>
    <s v="لزوم ثمن اول دفعة من مصنعية تكملة مباني الدور الثالث علوي + تقفيل اشاير عمدان غرف السطح "/>
    <n v="2000"/>
    <n v="0"/>
    <m/>
  </r>
  <r>
    <x v="0"/>
    <x v="0"/>
    <s v="مصروفات"/>
    <d v="2026-02-05T00:00:00"/>
    <x v="3"/>
    <x v="18"/>
    <s v="لزوم ثمن 2يومية عامل لتنظيف شقتين الدور الرابع علوي من الركش *350+ يومية عامل لنقل الرملة من الشقة للشقة"/>
    <n v="950"/>
    <n v="0"/>
    <m/>
  </r>
  <r>
    <x v="0"/>
    <x v="0"/>
    <s v="مصروفات"/>
    <d v="2026-02-10T00:00:00"/>
    <x v="3"/>
    <x v="24"/>
    <s v="لزوم ثمن ايجار سقالة لمدة شهر45 حطة *200 (من 10-2 ل 10-3) على الواجهه الخلفية (36 الخلفية + 3 حطات تكملة الواجهه الامامية + 5 حطات تكملة لدروة الواجهه الجانبية )"/>
    <n v="9000"/>
    <n v="0"/>
    <m/>
  </r>
  <r>
    <x v="0"/>
    <x v="0"/>
    <s v="مصروفات"/>
    <d v="2026-02-10T00:00:00"/>
    <x v="3"/>
    <x v="24"/>
    <s v="لزوم ثمن ايجار سقالة لمدة شهر 60 حطة *200 (من 18-2 ل 18-3) لزوم الواجهه الامامية والجانبية"/>
    <n v="12000"/>
    <n v="0"/>
    <m/>
  </r>
  <r>
    <x v="0"/>
    <x v="0"/>
    <s v="مصروفات"/>
    <d v="2026-02-10T00:00:00"/>
    <x v="3"/>
    <x v="24"/>
    <s v="لزوم نصب السقالة 36 حطة *30 للتركيب +170 حبال ربط للسقالة +200 تقطيع اسياخ حديد التربيط"/>
    <n v="1450"/>
    <n v="0"/>
    <m/>
  </r>
  <r>
    <x v="0"/>
    <x v="0"/>
    <s v="مصروفات"/>
    <d v="2026-02-13T00:00:00"/>
    <x v="3"/>
    <x v="17"/>
    <s v="لزوم ثمن اخر دفعة من  تأسيس تكيفات الدور الثالث علوي والرابع علوي ( من اجمالي امتار 12م * 800لزوم تكيفات 1.5 حصان للغرف+35م *950 للرسيبشن = 42850)"/>
    <n v="20100"/>
    <n v="0"/>
    <m/>
  </r>
  <r>
    <x v="0"/>
    <x v="0"/>
    <s v="مصروفات"/>
    <d v="2026-02-13T00:00:00"/>
    <x v="3"/>
    <x v="12"/>
    <s v="لزوم ثمن ثامن دفعة  من مصنعية محارة الواجهات "/>
    <n v="15000"/>
    <n v="0"/>
    <m/>
  </r>
  <r>
    <x v="0"/>
    <x v="0"/>
    <s v="مصروفات"/>
    <d v="2026-02-13T00:00:00"/>
    <x v="3"/>
    <x v="13"/>
    <s v="واصل ثالث دفعة من مصنعية اعمال الكهرباء الدور الثالث والرابع علوي"/>
    <n v="5000"/>
    <n v="0"/>
    <m/>
  </r>
  <r>
    <x v="0"/>
    <x v="0"/>
    <s v="مصروفات"/>
    <d v="2026-02-13T00:00:00"/>
    <x v="3"/>
    <x v="18"/>
    <s v="لزوم ثمن 4 يوميات عامل لتنظيف 4 شقق من الركش *350"/>
    <n v="1400"/>
    <n v="0"/>
    <m/>
  </r>
  <r>
    <x v="0"/>
    <x v="0"/>
    <s v="مصروفات"/>
    <d v="2026-02-13T00:00:00"/>
    <x v="3"/>
    <x v="9"/>
    <s v="لزوم ثمن تشوين  رمل 20 م 3 لزوم محارة الشقق الدور الثالث و الرابع علوي"/>
    <n v="4500"/>
    <n v="0"/>
    <m/>
  </r>
  <r>
    <x v="0"/>
    <x v="0"/>
    <s v="مصروفات"/>
    <d v="2026-02-13T00:00:00"/>
    <x v="3"/>
    <x v="9"/>
    <s v="لزوم ثمن ايجار ونش لرفع 20م 3 رمل لزوم محارة الشقق الدور الثالث و الرابع علوي "/>
    <n v="2400"/>
    <n v="0"/>
    <m/>
  </r>
  <r>
    <x v="0"/>
    <x v="0"/>
    <s v="مصروفات"/>
    <d v="2026-02-13T00:00:00"/>
    <x v="3"/>
    <x v="3"/>
    <s v="لزوم ثمن يومية عامل + ايجار هلت لنحت خرسانة بلكونات الواجهه الامامية "/>
    <n v="650"/>
    <n v="0"/>
    <m/>
  </r>
  <r>
    <x v="0"/>
    <x v="0"/>
    <s v="مصروفات"/>
    <d v="2026-02-13T00:00:00"/>
    <x v="3"/>
    <x v="7"/>
    <s v="لزوم ثمن مصنعية تكملة باقي بناء الحوائط اتلناقصة في الدور الثالث والرابع علوي +كوبسطة السلم 2000 طوبة "/>
    <n v="1500"/>
    <n v="0"/>
    <m/>
  </r>
  <r>
    <x v="0"/>
    <x v="0"/>
    <s v="مصروفات"/>
    <d v="2026-02-13T00:00:00"/>
    <x v="3"/>
    <x v="16"/>
    <s v="لزوم ثمن فاتورة حديد السلم الدوبلكس وحديد شاسيهات ابراج البلكونات =22550+3850 +8050"/>
    <n v="34450"/>
    <n v="0"/>
    <m/>
  </r>
  <r>
    <x v="0"/>
    <x v="0"/>
    <s v="مصروفات"/>
    <d v="2026-02-13T00:00:00"/>
    <x v="3"/>
    <x v="8"/>
    <s v="واصل اخر  دفعة من مصنعية السباك لزوم تاسيس الدور الرابع والخامس حساب شقة2حمام ومطبخ 2*6500=13000 + حساب 3 حمام وطبخ 2**8500=17000 اجمالي الحساب 4 شقة 30000 واصل 17000 باقي 13000"/>
    <n v="13000"/>
    <n v="0"/>
    <m/>
  </r>
  <r>
    <x v="0"/>
    <x v="0"/>
    <s v="مصروفات"/>
    <d v="2026-02-13T00:00:00"/>
    <x v="3"/>
    <x v="11"/>
    <s v="لزوم ثمن فاتورة فلسبيكو للاعمدة 5 بكرات شاش لزوم المحارة شقة الارضي وشقة من الرابع علوي  "/>
    <n v="1200"/>
    <n v="0"/>
    <m/>
  </r>
  <r>
    <x v="0"/>
    <x v="0"/>
    <s v="مصروفات"/>
    <d v="2026-02-21T00:00:00"/>
    <x v="3"/>
    <x v="12"/>
    <s v="لزوم ثمن تاسع دفعة  من مصنعية محارة الواجهات "/>
    <n v="15000"/>
    <n v="0"/>
    <m/>
  </r>
  <r>
    <x v="0"/>
    <x v="0"/>
    <s v="مصروفات"/>
    <d v="2026-02-21T00:00:00"/>
    <x v="3"/>
    <x v="13"/>
    <s v="واصل رابع دفعة من مصنعية تأسيس اعمال الكهرباء الدور الثالث والرابع علوي"/>
    <n v="10000"/>
    <n v="0"/>
    <m/>
  </r>
  <r>
    <x v="0"/>
    <x v="0"/>
    <s v="مصروفات"/>
    <d v="2026-02-21T00:00:00"/>
    <x v="3"/>
    <x v="9"/>
    <s v="لزوم ثمن فاتورة 20 طن اسمنت بني سويف * 3650 لزوم محارة الواجهه الجانبية وباقي شقق الثالث والرابع علوي "/>
    <n v="73000"/>
    <n v="0"/>
    <m/>
  </r>
  <r>
    <x v="0"/>
    <x v="0"/>
    <s v="مصروفات"/>
    <d v="2026-02-21T00:00:00"/>
    <x v="3"/>
    <x v="9"/>
    <s v="لزوم اكرامية لتشوين الاسمنت "/>
    <n v="200"/>
    <n v="0"/>
    <m/>
  </r>
  <r>
    <x v="0"/>
    <x v="0"/>
    <s v="مصروفات"/>
    <d v="2026-02-21T00:00:00"/>
    <x v="3"/>
    <x v="9"/>
    <s v="لزوم ثمن 30 متر مكعب رمل لزوم محارة الواجهه الجانبية وباقي شقق الثالث والرابع علوي"/>
    <n v="6000"/>
    <n v="0"/>
    <m/>
  </r>
  <r>
    <x v="0"/>
    <x v="0"/>
    <s v="مصروفات"/>
    <d v="2026-02-21T00:00:00"/>
    <x v="3"/>
    <x v="9"/>
    <s v="لزوم ثمن ايجار ونش لتشوين 30 م مكعب رملة و 20 طن اسمنت "/>
    <n v="6000"/>
    <n v="0"/>
    <m/>
  </r>
  <r>
    <x v="0"/>
    <x v="0"/>
    <s v="مصروفات"/>
    <d v="2026-02-21T00:00:00"/>
    <x v="3"/>
    <x v="24"/>
    <s v="لزوم فك السقالة 36 حطة من الواجهه الخلفية 36*30 "/>
    <n v="1080"/>
    <n v="0"/>
    <m/>
  </r>
  <r>
    <x v="0"/>
    <x v="0"/>
    <s v="مصروفات"/>
    <d v="2026-02-22T00:00:00"/>
    <x v="3"/>
    <x v="24"/>
    <s v="لزوم تركيب  السقالة 36 حطة على الواجهه الجانبية الاخري 36*30 "/>
    <n v="1080"/>
    <n v="0"/>
    <m/>
  </r>
  <r>
    <x v="0"/>
    <x v="0"/>
    <s v="مصروفات"/>
    <d v="2026-02-28T00:00:00"/>
    <x v="3"/>
    <x v="12"/>
    <s v="لزوم ثمن عاشر دفعة  من مصنعية محارة الواجهات "/>
    <n v="10000"/>
    <n v="0"/>
    <m/>
  </r>
  <r>
    <x v="0"/>
    <x v="0"/>
    <s v="مصروفات"/>
    <d v="2026-02-28T00:00:00"/>
    <x v="3"/>
    <x v="27"/>
    <s v="واصل ثالث دفعة من اعمال جبس الواجهه "/>
    <n v="25000"/>
    <n v="0"/>
    <m/>
  </r>
  <r>
    <x v="0"/>
    <x v="0"/>
    <s v="مصروفات"/>
    <d v="2026-02-28T00:00:00"/>
    <x v="3"/>
    <x v="15"/>
    <s v="لزوم ثمن كالون الباب اليمين لسور الواجهه الامامية "/>
    <n v="450"/>
    <n v="0"/>
    <m/>
  </r>
  <r>
    <x v="0"/>
    <x v="0"/>
    <s v="مصروفات"/>
    <d v="2026-02-28T00:00:00"/>
    <x v="3"/>
    <x v="9"/>
    <s v="لزوم ثمن 2 يومية عامل لنقل شكاير الاسمنت في الدور الاؤضي+ تنظيف مكان السباك والكهربائي "/>
    <n v="700"/>
    <n v="0"/>
    <m/>
  </r>
  <r>
    <x v="0"/>
    <x v="0"/>
    <s v="مصروفات"/>
    <d v="2026-02-28T00:00:00"/>
    <x v="3"/>
    <x v="14"/>
    <s v="لزوم ثالث دفعة من فاتورة اعمال الكهرباء من اولاد فاضل لزوم تاسيس الحوائط الداخلية للدور الرابع  والخامس العلوي "/>
    <n v="20000"/>
    <n v="0"/>
    <m/>
  </r>
  <r>
    <x v="0"/>
    <x v="0"/>
    <s v="مصروفات"/>
    <d v="2026-02-28T00:00:00"/>
    <x v="3"/>
    <x v="5"/>
    <s v="لزوم تقفيل  فاتورة  الصحي لزوم تأسيس سباكة الدور الثالث والرابع علوي من الطاحونة من اجمالي 143000"/>
    <n v="23000"/>
    <n v="0"/>
    <m/>
  </r>
  <r>
    <x v="0"/>
    <x v="0"/>
    <s v="مصروفات"/>
    <d v="2026-03-01T00:00:00"/>
    <x v="3"/>
    <x v="5"/>
    <s v="واصل اول دفعة من فاتورة العزل للحمامات والمطابخ للدور الارضي والاول علوي( 14 شكارة سيكا 880 +5 ادبوند 660 + 150 نقل ومشال "/>
    <n v="16000"/>
    <n v="0"/>
    <m/>
  </r>
  <r>
    <x v="0"/>
    <x v="0"/>
    <s v="مصروفات"/>
    <d v="2026-03-01T00:00:00"/>
    <x v="3"/>
    <x v="11"/>
    <s v="لزوم ثمن فاتورة زاوية فلسبيكو  43* 27 + 40 نقل لزوم شقتين الخامس علوي "/>
    <n v="1200"/>
    <n v="0"/>
    <m/>
  </r>
  <r>
    <x v="0"/>
    <x v="0"/>
    <s v="مصروفات"/>
    <d v="2026-03-01T00:00:00"/>
    <x v="3"/>
    <x v="21"/>
    <s v="لزوم يومية محارة لتسليخ الشاسيهات الحديد علي بلكونات الواجهه"/>
    <n v="750"/>
    <n v="0"/>
    <m/>
  </r>
  <r>
    <x v="0"/>
    <x v="0"/>
    <s v="مصروفات"/>
    <d v="2026-03-06T00:00:00"/>
    <x v="3"/>
    <x v="26"/>
    <s v="لزوم ثامن دفعة من اعمال جبسون بورد ( الدور الخامس علوي والشقة شمال السلم من الرابع علوي )"/>
    <n v="20000"/>
    <n v="0"/>
    <m/>
  </r>
  <r>
    <x v="0"/>
    <x v="0"/>
    <s v="مصروفات"/>
    <d v="2026-03-06T00:00:00"/>
    <x v="3"/>
    <x v="28"/>
    <s v="لزوم دفعة اولى من مصنعية الحداد لزوم علب العمدان وشاسيهات البلكونات وحديد سلم الدوبلكس "/>
    <n v="5000"/>
    <n v="0"/>
    <m/>
  </r>
  <r>
    <x v="0"/>
    <x v="0"/>
    <s v="مصروفات"/>
    <d v="2026-03-06T00:00:00"/>
    <x v="3"/>
    <x v="27"/>
    <s v="واصل رابع دفعة من اعمال جبس الواجهه "/>
    <n v="30000"/>
    <n v="0"/>
    <m/>
  </r>
  <r>
    <x v="0"/>
    <x v="0"/>
    <s v="مصروفات"/>
    <d v="2026-03-06T00:00:00"/>
    <x v="3"/>
    <x v="26"/>
    <s v="لزوم تاسع دفعة من اعمال جبسون بورد (الدور الخامس علوي والشقة شمال السلم من الرابع علوي)"/>
    <n v="30000"/>
    <n v="0"/>
    <m/>
  </r>
  <r>
    <x v="0"/>
    <x v="0"/>
    <s v="مصروفات"/>
    <d v="2026-03-06T00:00:00"/>
    <x v="3"/>
    <x v="12"/>
    <s v="لزوم ثمن اول دفعة مصنعية المحارة الداخلي الشقق الدور الثالث و الرابع علوي+ شقة الدور الارضي "/>
    <n v="16000"/>
    <n v="0"/>
    <m/>
  </r>
  <r>
    <x v="0"/>
    <x v="0"/>
    <s v="مصروفات"/>
    <d v="2026-03-06T00:00:00"/>
    <x v="3"/>
    <x v="21"/>
    <s v="لزوم 2 يومية عامل لزوم تغطية الحمامات و المطابخ المعزولة بالرمل "/>
    <n v="700"/>
    <n v="0"/>
    <m/>
  </r>
  <r>
    <x v="0"/>
    <x v="0"/>
    <s v="مصروفات"/>
    <d v="2026-03-06T00:00:00"/>
    <x v="3"/>
    <x v="10"/>
    <s v="واصل اول دفعة من ثمن مصنعية عزل الحمامات و المطابخ "/>
    <n v="7000"/>
    <n v="0"/>
    <m/>
  </r>
  <r>
    <x v="0"/>
    <x v="0"/>
    <s v="مصروفات"/>
    <d v="2026-03-06T00:00:00"/>
    <x v="3"/>
    <x v="16"/>
    <s v="لزوم دفعة اولى من ثمن حديد هاندريل البلكونات   "/>
    <n v="20000"/>
    <n v="0"/>
    <m/>
  </r>
  <r>
    <x v="0"/>
    <x v="0"/>
    <s v="مصروفات"/>
    <d v="2026-03-06T00:00:00"/>
    <x v="3"/>
    <x v="13"/>
    <s v="واصل اول دفعة من مصنعية تأسيس الكهرباء لفتح الاسبوتات في الدو ر الارضي و الاول علوي "/>
    <n v="2000"/>
    <n v="0"/>
    <m/>
  </r>
  <r>
    <x v="0"/>
    <x v="0"/>
    <s v="مصروفات"/>
    <d v="2026-03-06T00:00:00"/>
    <x v="3"/>
    <x v="14"/>
    <s v="لزوم فاتورة كهرباء لزوم اعواد مجناتك لزوم شقق الدور الرابع والخامس علوي من اولاد فاضل"/>
    <n v="11675"/>
    <n v="0"/>
    <m/>
  </r>
  <r>
    <x v="0"/>
    <x v="0"/>
    <s v="مصروفات"/>
    <d v="2026-03-06T00:00:00"/>
    <x v="3"/>
    <x v="20"/>
    <s v="لزوم مصنعية البنا لزوم بناء هندريل السلم بالمقطوعية"/>
    <n v="1000"/>
    <n v="0"/>
    <m/>
  </r>
  <r>
    <x v="0"/>
    <x v="0"/>
    <s v="مصروفات"/>
    <d v="2026-03-06T00:00:00"/>
    <x v="3"/>
    <x v="16"/>
    <s v="لزوم ثمن فاتورة 3 اسياخ حديد لزوم الجبس للواجهه  + 150 نقل توكتوك "/>
    <n v="1350"/>
    <n v="0"/>
    <m/>
  </r>
  <r>
    <x v="0"/>
    <x v="0"/>
    <s v="مصروفات"/>
    <d v="2026-03-06T00:00:00"/>
    <x v="3"/>
    <x v="16"/>
    <s v="لزوم ثمن فاتورة حديد من اليحيى لزوم سلم الدوبلكس "/>
    <n v="4400"/>
    <n v="0"/>
    <m/>
  </r>
  <r>
    <x v="0"/>
    <x v="0"/>
    <s v="مصروفات"/>
    <d v="2026-03-12T00:00:00"/>
    <x v="3"/>
    <x v="27"/>
    <s v="واصل خامس دفعة من اعمال جبس الواجهه "/>
    <n v="20000"/>
    <n v="0"/>
    <m/>
  </r>
  <r>
    <x v="0"/>
    <x v="0"/>
    <s v="مصروفات"/>
    <d v="2026-03-12T00:00:00"/>
    <x v="3"/>
    <x v="26"/>
    <s v="لزوم عاشر دفعة من اعمال جبسون بورد( الدور الخامس علوي والشقة شمال السلم من الرابع علوي)"/>
    <n v="20000"/>
    <n v="0"/>
    <m/>
  </r>
  <r>
    <x v="0"/>
    <x v="0"/>
    <s v="مصروفات"/>
    <d v="2026-03-12T00:00:00"/>
    <x v="3"/>
    <x v="12"/>
    <s v="لزوم ثمن ثاني دفعة من مصنعية محارة الشقق الدور الثالث و الرابع علوي+ شقة الدور الارضي"/>
    <n v="10000"/>
    <n v="0"/>
    <m/>
  </r>
  <r>
    <x v="0"/>
    <x v="0"/>
    <s v="مصروفات"/>
    <d v="2026-03-12T00:00:00"/>
    <x v="3"/>
    <x v="13"/>
    <s v="واصل ثاني دفعة من مصنعية تأسيس الكهرباء لفتح الاسبوتات في الدو ر الثاني والثالث والرابع علوي"/>
    <n v="10000"/>
    <n v="0"/>
    <m/>
  </r>
  <r>
    <x v="0"/>
    <x v="0"/>
    <s v="مصروفات"/>
    <d v="2026-03-12T00:00:00"/>
    <x v="3"/>
    <x v="14"/>
    <s v="لزوم ثمن فاتورة كهرباء من اولاد فاضل لزوم تركات المجناتك للجبسون بورد في الادوار الثالث والرابع علوي"/>
    <n v="13000"/>
    <n v="0"/>
    <m/>
  </r>
  <r>
    <x v="0"/>
    <x v="0"/>
    <s v="مصروفات"/>
    <d v="2026-03-12T00:00:00"/>
    <x v="3"/>
    <x v="21"/>
    <s v="لزوم ثمن مصنعية 3 يومية عامل لزوم  تحويل الرملة في الدور الارضي وتنظيف الركش في الدور الاول علوي* 350"/>
    <n v="1050"/>
    <n v="0"/>
    <m/>
  </r>
  <r>
    <x v="0"/>
    <x v="0"/>
    <s v="مصروفات"/>
    <d v="2026-03-12T00:00:00"/>
    <x v="3"/>
    <x v="28"/>
    <s v="لزوم دفعة ثانية من مصنعية الحداد لزوم  حديد سلم الدوبلكس "/>
    <n v="10000"/>
    <n v="0"/>
    <m/>
  </r>
  <r>
    <x v="0"/>
    <x v="0"/>
    <s v="مصروفات"/>
    <d v="2026-03-12T00:00:00"/>
    <x v="3"/>
    <x v="29"/>
    <s v="واصل من اعمال curtain wall"/>
    <n v="50000"/>
    <n v="0"/>
    <m/>
  </r>
  <r>
    <x v="0"/>
    <x v="0"/>
    <s v="مصروفات"/>
    <d v="2026-03-12T00:00:00"/>
    <x v="3"/>
    <x v="24"/>
    <s v="لزوم ثمن ايجار سقالة لمدة شهر 60 حطة *200 (من 18-3 ل 18-4) لزوم الواجهه الامامية والجانبية"/>
    <n v="12000"/>
    <n v="0"/>
    <m/>
  </r>
  <r>
    <x v="0"/>
    <x v="0"/>
    <s v="مصروفات"/>
    <d v="2026-03-18T00:00:00"/>
    <x v="3"/>
    <x v="16"/>
    <s v="لزوم ثمن فاتورة حديد لزوم السلم الدوبلكس من اليحيى"/>
    <n v="5740"/>
    <n v="0"/>
    <m/>
  </r>
  <r>
    <x v="0"/>
    <x v="0"/>
    <s v="مصروفات"/>
    <d v="2026-03-12T00:00:00"/>
    <x v="3"/>
    <x v="11"/>
    <s v="لزوم ثمن فاترة 15 بكرة فايبر لزوم المحارة"/>
    <n v="1000"/>
    <n v="0"/>
    <m/>
  </r>
  <r>
    <x v="0"/>
    <x v="0"/>
    <s v="مصروفات"/>
    <d v="2026-03-23T00:00:00"/>
    <x v="3"/>
    <x v="21"/>
    <s v="لزوم 2 يومية عامل محارة لزوم مرمات الكهرباء"/>
    <n v="1500"/>
    <n v="0"/>
    <m/>
  </r>
  <r>
    <x v="0"/>
    <x v="0"/>
    <s v="مصروفات"/>
    <d v="2026-03-23T00:00:00"/>
    <x v="3"/>
    <x v="21"/>
    <s v="لزوم 2 يومية عامل محارة لزوم كمر الاسقف لزوم اسقف بيت الستارة "/>
    <n v="1500"/>
    <n v="0"/>
    <m/>
  </r>
  <r>
    <x v="0"/>
    <x v="0"/>
    <s v="مصروفات"/>
    <d v="2026-03-23T00:00:00"/>
    <x v="3"/>
    <x v="24"/>
    <s v="لزوم ثمن فك ونصب السقالة الجزء الاخير الواجهه الجانبية شمال السلم "/>
    <n v="750"/>
    <n v="0"/>
    <m/>
  </r>
  <r>
    <x v="0"/>
    <x v="0"/>
    <s v="مصروفات"/>
    <d v="2026-03-23T00:00:00"/>
    <x v="3"/>
    <x v="26"/>
    <s v="لزوم الدفعة الأحدى عشرمن اعمال جبسون بورد( تقفيل حساب الدور الخامس علوي والشقة شمال السلم من الرابع علوي)"/>
    <n v="65000"/>
    <n v="0"/>
    <m/>
  </r>
  <r>
    <x v="0"/>
    <x v="0"/>
    <s v="مصروفات"/>
    <d v="2026-03-23T00:00:00"/>
    <x v="3"/>
    <x v="30"/>
    <s v="لزوم ثمن فاتورة بورسلين ريسيبشن الارضي وبورسلين باركيه لدوبليكس الاول علوي من السلاب "/>
    <n v="173000"/>
    <n v="0"/>
    <m/>
  </r>
  <r>
    <x v="0"/>
    <x v="0"/>
    <s v="مصروفات"/>
    <d v="2026-03-23T00:00:00"/>
    <x v="3"/>
    <x v="30"/>
    <s v="لزوم ثمن فاتورة سيراميك الحمامات لزوم الدوبليكس من محجوب"/>
    <n v="71000"/>
    <n v="0"/>
    <m/>
  </r>
  <r>
    <x v="0"/>
    <x v="0"/>
    <s v="مصروفات"/>
    <d v="2026-03-23T00:00:00"/>
    <x v="3"/>
    <x v="30"/>
    <s v=" فاتورة سيراميك مط لزوم رسيبشن  + حمامات شقة يمين السلم الدور الاول علوي على الواجهه"/>
    <n v="95000"/>
    <n v="0"/>
    <m/>
  </r>
  <r>
    <x v="0"/>
    <x v="0"/>
    <s v="مصروفات"/>
    <d v="2026-03-23T00:00:00"/>
    <x v="3"/>
    <x v="31"/>
    <s v="لزوم ثمن فاتورة الصحي لزوم الدوبليكس + شقتين من محجوب"/>
    <n v="243790"/>
    <n v="0"/>
    <m/>
  </r>
  <r>
    <x v="0"/>
    <x v="0"/>
    <s v="مصروفات"/>
    <d v="2026-03-23T00:00:00"/>
    <x v="3"/>
    <x v="30"/>
    <s v="لزوم ثمن فاتورة بلاط سنجابي 450 متر مربع "/>
    <n v="33750"/>
    <n v="0"/>
    <m/>
  </r>
  <r>
    <x v="0"/>
    <x v="0"/>
    <s v="مصروفات"/>
    <d v="2026-03-23T00:00:00"/>
    <x v="3"/>
    <x v="30"/>
    <s v="لزوم تنزيل البلاط السنجابي450 متر مربع"/>
    <n v="2000"/>
    <n v="0"/>
    <m/>
  </r>
  <r>
    <x v="0"/>
    <x v="0"/>
    <s v="مصروفات"/>
    <d v="2026-03-23T00:00:00"/>
    <x v="3"/>
    <x v="4"/>
    <s v="لزوم اكرامية للسواق لزوم نقل اربع نقلات البلاط السنجابي "/>
    <n v="200"/>
    <n v="0"/>
    <m/>
  </r>
  <r>
    <x v="0"/>
    <x v="0"/>
    <s v="مصروفات"/>
    <d v="2026-03-23T00:00:00"/>
    <x v="3"/>
    <x v="32"/>
    <s v="لزوم ثمن اول دفعة من مصنعية البلاط السنجابي  لزوم الدوبليكس "/>
    <n v="5000"/>
    <n v="0"/>
    <m/>
  </r>
  <r>
    <x v="0"/>
    <x v="0"/>
    <s v="مصروفات"/>
    <d v="2026-03-23T00:00:00"/>
    <x v="3"/>
    <x v="28"/>
    <s v="لزوم تقفيل  مصنعية الحداد لزوم  حديد سلم الدوبلكس من اجمالي 15000 -10000"/>
    <n v="5000"/>
    <n v="0"/>
    <m/>
  </r>
  <r>
    <x v="0"/>
    <x v="0"/>
    <s v="مصروفات"/>
    <d v="2026-03-23T00:00:00"/>
    <x v="3"/>
    <x v="28"/>
    <s v="لزوم تقفيل مصنعية الحداد لزوم علب العمدان وشاسيهات البلكونات وحديد سلم الدوبلكس من اجمالي 12000-5000"/>
    <n v="7000"/>
    <n v="0"/>
    <m/>
  </r>
  <r>
    <x v="0"/>
    <x v="0"/>
    <s v="مصروفات"/>
    <d v="2026-03-23T00:00:00"/>
    <x v="3"/>
    <x v="4"/>
    <s v="لزوم اكرامية سواق من محجوب"/>
    <n v="800"/>
    <n v="0"/>
    <m/>
  </r>
  <r>
    <x v="0"/>
    <x v="0"/>
    <s v="مصروفات"/>
    <d v="2026-03-23T00:00:00"/>
    <x v="3"/>
    <x v="10"/>
    <s v="واصل ثاني دفعة من ثمن مصنعية عزل الحمامات و المطابخ "/>
    <n v="4000"/>
    <n v="0"/>
    <m/>
  </r>
  <r>
    <x v="0"/>
    <x v="0"/>
    <s v="مصروفات"/>
    <d v="2026-03-23T00:00:00"/>
    <x v="3"/>
    <x v="21"/>
    <s v="لزوم يومية 4 انفار لتنزيل سيراميك محجوب "/>
    <n v="2000"/>
    <n v="0"/>
    <m/>
  </r>
  <r>
    <x v="0"/>
    <x v="0"/>
    <s v="مصروفات"/>
    <d v="2026-03-23T00:00:00"/>
    <x v="3"/>
    <x v="21"/>
    <s v="لزوم يومية 4 انفار لتنزيل سيراميك السلاب  "/>
    <n v="2000"/>
    <n v="0"/>
    <m/>
  </r>
  <r>
    <x v="0"/>
    <x v="0"/>
    <s v="مصروفات"/>
    <d v="2026-03-23T00:00:00"/>
    <x v="3"/>
    <x v="4"/>
    <s v="لزوم اكرامية سواق من السلاب"/>
    <n v="200"/>
    <n v="0"/>
    <m/>
  </r>
  <r>
    <x v="0"/>
    <x v="0"/>
    <s v="مصروفات"/>
    <d v="2026-03-23T00:00:00"/>
    <x v="3"/>
    <x v="30"/>
    <s v="لزوم فاتورة 100 شكارة مادة لزوم سيراميك لزوم بورسلين الدوبلكس من حمدي عطوان "/>
    <n v="18100"/>
    <n v="0"/>
    <m/>
  </r>
  <r>
    <x v="0"/>
    <x v="0"/>
    <s v="مصروفات"/>
    <d v="2026-03-23T00:00:00"/>
    <x v="3"/>
    <x v="30"/>
    <s v="لزوم ثمن فاتورة 15 طن اسمنت بني سويف من الكابتن *3675"/>
    <n v="55125"/>
    <n v="0"/>
    <m/>
  </r>
  <r>
    <x v="0"/>
    <x v="0"/>
    <s v="مصروفات"/>
    <d v="2026-03-23T00:00:00"/>
    <x v="3"/>
    <x v="4"/>
    <s v="لزوم ثمن اكرامية للسواق لزوم نقل الاسمنت"/>
    <n v="150"/>
    <n v="0"/>
    <m/>
  </r>
  <r>
    <x v="0"/>
    <x v="0"/>
    <s v="مصروفات"/>
    <d v="2026-03-23T00:00:00"/>
    <x v="3"/>
    <x v="30"/>
    <s v="لزوم ثمن 40 متر رملة"/>
    <n v="13750"/>
    <n v="0"/>
    <m/>
  </r>
  <r>
    <x v="0"/>
    <x v="0"/>
    <s v="مصروفات"/>
    <d v="2026-03-23T00:00:00"/>
    <x v="3"/>
    <x v="9"/>
    <s v="لزوم ثمن يومية لودر لنقل الرملة "/>
    <n v="600"/>
    <n v="0"/>
    <m/>
  </r>
  <r>
    <x v="0"/>
    <x v="0"/>
    <s v="مصروفات"/>
    <d v="2026-03-23T00:00:00"/>
    <x v="3"/>
    <x v="9"/>
    <s v="لزوم ايجار ونش لزوم ثمن تشوين 40 م رملة + 100 شكارة مادة + 15 طن اسمنت"/>
    <n v="6500"/>
    <n v="0"/>
    <m/>
  </r>
  <r>
    <x v="0"/>
    <x v="0"/>
    <s v="مصروفات"/>
    <d v="2026-03-23T00:00:00"/>
    <x v="3"/>
    <x v="27"/>
    <s v="واصل سادس دفعة من اعمال جبس الواجهه "/>
    <n v="10000"/>
    <n v="0"/>
    <m/>
  </r>
  <r>
    <x v="0"/>
    <x v="0"/>
    <s v="مصروفات"/>
    <d v="2026-03-23T00:00:00"/>
    <x v="3"/>
    <x v="12"/>
    <s v="لزوم ثمن ثالث دفعة من مصنعية محارة الشقق الدور الثالث و الرابع علوي+ شقة الدور الارضي"/>
    <n v="10000"/>
    <n v="0"/>
    <m/>
  </r>
  <r>
    <x v="0"/>
    <x v="0"/>
    <s v="مصروفات"/>
    <d v="2026-03-23T00:00:00"/>
    <x v="3"/>
    <x v="13"/>
    <s v="واصل ثالث دفعة من مصنعية تأسيس الكهرباء لفتح الاسبوتات في الدو ر الثاني والثالث والرابع علوي"/>
    <n v="10000"/>
    <n v="0"/>
    <m/>
  </r>
  <r>
    <x v="0"/>
    <x v="0"/>
    <s v="مصروفات"/>
    <d v="2026-03-23T00:00:00"/>
    <x v="3"/>
    <x v="30"/>
    <s v="لزوم ثمن فاتورة كلبسات لتركيب بورسلين الدور الارضي"/>
    <n v="2000"/>
    <n v="0"/>
    <m/>
  </r>
  <r>
    <x v="0"/>
    <x v="0"/>
    <s v="مصروفات"/>
    <d v="2026-03-27T00:00:00"/>
    <x v="3"/>
    <x v="16"/>
    <s v="لزوم ثمن فاتورة حديد لزوم علب سلم الفيلا الرئيسى من اليحيى"/>
    <n v="14450"/>
    <n v="0"/>
    <m/>
  </r>
  <r>
    <x v="0"/>
    <x v="0"/>
    <s v="مصروفات"/>
    <d v="2026-03-27T00:00:00"/>
    <x v="3"/>
    <x v="33"/>
    <s v="لزوم ثمن دفعة اولى من الرخام (السلم الرئيسي من اجمالي105000)"/>
    <n v="50000"/>
    <n v="0"/>
    <m/>
  </r>
  <r>
    <x v="0"/>
    <x v="0"/>
    <s v="مصروفات"/>
    <d v="2026-03-30T00:00:00"/>
    <x v="3"/>
    <x v="30"/>
    <s v="لزوم ثمن 4 عتبات لزوم الحمامات300 +نقل 150 "/>
    <n v="450"/>
    <n v="0"/>
    <m/>
  </r>
  <r>
    <x v="0"/>
    <x v="0"/>
    <s v="مصروفات"/>
    <d v="2026-03-31T00:00:00"/>
    <x v="3"/>
    <x v="27"/>
    <s v="واصل سادس دفعة من اعمال جبس الواجهه "/>
    <n v="14000"/>
    <n v="0"/>
    <m/>
  </r>
  <r>
    <x v="0"/>
    <x v="0"/>
    <s v="مصروفات"/>
    <d v="2026-04-03T00:00:00"/>
    <x v="3"/>
    <x v="12"/>
    <s v="لزوم ثمن رابع دفعة من مصنعية محارة الشقق الدور الثالث و الرابع علوي+ شقة الدور الارضي"/>
    <n v="10000"/>
    <n v="0"/>
    <m/>
  </r>
  <r>
    <x v="0"/>
    <x v="0"/>
    <s v="مصروفات"/>
    <d v="2026-04-03T00:00:00"/>
    <x v="3"/>
    <x v="13"/>
    <s v="واصل ثالث دفعة من مصنعية تأسيس الكهرباء لفتح الاسبوتات في الدو ر الثاني والثالث والرابع علوي"/>
    <n v="6000"/>
    <n v="0"/>
    <m/>
  </r>
  <r>
    <x v="0"/>
    <x v="0"/>
    <s v="مصروفات"/>
    <d v="2026-04-05T00:00:00"/>
    <x v="3"/>
    <x v="32"/>
    <s v="لزوم ثمن ثاني دفعة من مصنعية البلاط السنجابي  لزوم الدوبليكس (الدور الاول علوي)"/>
    <n v="5000"/>
    <n v="0"/>
    <m/>
  </r>
  <r>
    <x v="0"/>
    <x v="0"/>
    <s v="مصروفات"/>
    <d v="2026-04-05T00:00:00"/>
    <x v="3"/>
    <x v="16"/>
    <s v="لزوم دفعة اولى من ثمن حديد هاندريل البلكونات   "/>
    <n v="10000"/>
    <n v="0"/>
    <m/>
  </r>
  <r>
    <x v="0"/>
    <x v="0"/>
    <s v="مصروفات"/>
    <d v="2026-04-05T00:00:00"/>
    <x v="3"/>
    <x v="30"/>
    <s v="لزوم ثمن فاتورة 6 عيدان ميتال لزوم الشاورفي الحمامات من شعبان +50 نقل"/>
    <n v="2105"/>
    <n v="0"/>
    <m/>
  </r>
  <r>
    <x v="0"/>
    <x v="0"/>
    <s v="مصروفات"/>
    <d v="2026-04-05T00:00:00"/>
    <x v="3"/>
    <x v="21"/>
    <s v="لزوم ثمن 5يوميات احمد العامل لتطليع بلاط سينجابي وترحيل رملة +تنظيف 5*350"/>
    <n v="1750"/>
    <n v="0"/>
    <m/>
  </r>
  <r>
    <x v="0"/>
    <x v="0"/>
    <s v="مصروفات"/>
    <d v="2026-04-05T00:00:00"/>
    <x v="3"/>
    <x v="11"/>
    <s v="لزوم ثمن شكارة اسمنت ابيض لزوم عراميس الواجهه 190+ النقل 50"/>
    <n v="240"/>
    <n v="0"/>
    <m/>
  </r>
  <r>
    <x v="0"/>
    <x v="0"/>
    <s v="مصروفات"/>
    <d v="2026-04-06T00:00:00"/>
    <x v="3"/>
    <x v="14"/>
    <s v="لزوم ثمن فاتورة كهرباء من اولاد فاضل"/>
    <n v="6414"/>
    <n v="0"/>
    <m/>
  </r>
  <r>
    <x v="0"/>
    <x v="0"/>
    <s v="مصروفات"/>
    <d v="2026-04-03T00:00:00"/>
    <x v="3"/>
    <x v="20"/>
    <s v="لزوم ثمن يومية بنا لزوم عمل ارفف حمامات الدور الاول علوي "/>
    <n v="1300"/>
    <n v="0"/>
    <m/>
  </r>
  <r>
    <x v="0"/>
    <x v="0"/>
    <s v="مصروفات"/>
    <d v="2026-04-04T00:00:00"/>
    <x v="3"/>
    <x v="27"/>
    <s v="واصل سابع دفعة من اعمال جبس الواجهه "/>
    <n v="16000"/>
    <n v="0"/>
    <m/>
  </r>
  <r>
    <x v="0"/>
    <x v="0"/>
    <s v="مصروفات"/>
    <d v="2026-04-08T00:00:00"/>
    <x v="3"/>
    <x v="12"/>
    <s v="لزوم ثمن خامس دفعة من مصنعية محارة الشقق الدور الثالث و الرابع علوي+ شقة الدور الارضي"/>
    <n v="5000"/>
    <n v="0"/>
    <m/>
  </r>
  <r>
    <x v="0"/>
    <x v="0"/>
    <s v="مصروفات"/>
    <d v="2026-04-09T00:00:00"/>
    <x v="3"/>
    <x v="34"/>
    <s v="لزوم ثمن تشوين 40 متر رملة "/>
    <n v="11500"/>
    <n v="0"/>
    <m/>
  </r>
  <r>
    <x v="0"/>
    <x v="0"/>
    <s v="مصروفات"/>
    <d v="2026-04-09T00:00:00"/>
    <x v="3"/>
    <x v="34"/>
    <s v="لزوم ثمن 3 طن اسمنت "/>
    <n v="11400"/>
    <n v="0"/>
    <m/>
  </r>
  <r>
    <x v="0"/>
    <x v="0"/>
    <s v="مصروفات"/>
    <d v="2026-04-09T00:00:00"/>
    <x v="3"/>
    <x v="21"/>
    <s v="لزوم ثمن يوميات احمد العامل لتطليع بلاط سينجابي  +تنظيف 5*350"/>
    <n v="1800"/>
    <n v="0"/>
    <m/>
  </r>
  <r>
    <x v="0"/>
    <x v="0"/>
    <s v="مصروفات"/>
    <d v="2026-04-09T00:00:00"/>
    <x v="3"/>
    <x v="4"/>
    <s v="لزوم ثمن اكرامية سواق عربية الاسمنت "/>
    <n v="100"/>
    <n v="0"/>
    <m/>
  </r>
  <r>
    <x v="0"/>
    <x v="0"/>
    <s v="مصروفات"/>
    <d v="2026-04-09T00:00:00"/>
    <x v="3"/>
    <x v="21"/>
    <s v="لزوم ثمن 2 يومية نحات لفتح عراميس الواجهه الامامية "/>
    <n v="800"/>
    <n v="0"/>
    <m/>
  </r>
  <r>
    <x v="0"/>
    <x v="0"/>
    <s v="مصروفات"/>
    <d v="2026-04-09T00:00:00"/>
    <x v="3"/>
    <x v="34"/>
    <s v="لزوم ثمن تشوين شكارة اسمنت ابيض 200 +50 نقل"/>
    <n v="250"/>
    <n v="0"/>
    <m/>
  </r>
  <r>
    <x v="0"/>
    <x v="0"/>
    <s v="مصروفات"/>
    <d v="2026-04-09T00:00:00"/>
    <x v="3"/>
    <x v="35"/>
    <s v="لزوم ثمن ايجار ونش لتشوين 40 متر رملة +3 طن اسمنت +150م بلاط سنجابي"/>
    <n v="4000"/>
    <n v="0"/>
    <m/>
  </r>
  <r>
    <x v="0"/>
    <x v="0"/>
    <s v="مصروفات"/>
    <d v="2026-04-09T00:00:00"/>
    <x v="3"/>
    <x v="12"/>
    <s v="لزوم ثمن سادس دفعة من مصنعية محارة الداخلية (للحمامات)"/>
    <n v="10000"/>
    <n v="0"/>
    <m/>
  </r>
  <r>
    <x v="0"/>
    <x v="0"/>
    <s v="مصروفات"/>
    <d v="2026-04-09T00:00:00"/>
    <x v="3"/>
    <x v="24"/>
    <s v="لزوم ثمن ايجار سقالة لمدة شهر45 حطة *200 (من 10-3 ل 10-4) على الواجهه الخلفية (36 الخلفية + 3 حطات تكملة الواجهه الامامية + 5 حطات تكملة لدروة الواجهه الجانبية )"/>
    <n v="7000"/>
    <n v="0"/>
    <m/>
  </r>
  <r>
    <x v="0"/>
    <x v="0"/>
    <s v="مصروفات"/>
    <d v="2026-04-09T00:00:00"/>
    <x v="3"/>
    <x v="11"/>
    <s v="لزوم ثمن فاتورة عيدان فليسبيكو لزوم  محارة الشقة الاخيرة"/>
    <n v="650"/>
    <n v="0"/>
    <m/>
  </r>
  <r>
    <x v="0"/>
    <x v="0"/>
    <s v="مصروفات"/>
    <d v="2026-04-09T00:00:00"/>
    <x v="3"/>
    <x v="10"/>
    <s v="واصل ثالث دفعة من ثمن مصنعية عزل الحمامات و المطابخ "/>
    <n v="7000"/>
    <n v="0"/>
    <m/>
  </r>
  <r>
    <x v="0"/>
    <x v="0"/>
    <s v="مصروفات"/>
    <d v="2026-04-09T00:00:00"/>
    <x v="3"/>
    <x v="32"/>
    <s v="لزوم ثمن ثالث دفعة من مصنعية البلاط السنجابي  لزوم الدوبليكس (الدور الثاني علوي + حمامات الدوبليكس)"/>
    <n v="20000"/>
    <n v="0"/>
    <m/>
  </r>
  <r>
    <x v="0"/>
    <x v="0"/>
    <s v="مصروفات"/>
    <d v="2026-04-09T00:00:00"/>
    <x v="3"/>
    <x v="27"/>
    <s v="واصل ثامن دفعة من اعمال جبس الواجهه "/>
    <n v="17000"/>
    <n v="0"/>
    <m/>
  </r>
  <r>
    <x v="0"/>
    <x v="0"/>
    <s v="مصروفات"/>
    <d v="2026-04-09T00:00:00"/>
    <x v="3"/>
    <x v="13"/>
    <s v="واصل رابع دفعة من مصنعية تأسيس الكهرباء لفتح الاسبوتات في الدو ر الثاني والثالث والرابع علوي"/>
    <n v="4000"/>
    <n v="0"/>
    <m/>
  </r>
  <r>
    <x v="0"/>
    <x v="0"/>
    <s v="مصروفات"/>
    <d v="2026-04-09T00:00:00"/>
    <x v="3"/>
    <x v="33"/>
    <s v="لزوم ثمن دفعة ثانية من الرخام (السلم الدوبليكس من اجمالي 130000)"/>
    <n v="50000"/>
    <n v="0"/>
    <m/>
  </r>
  <r>
    <x v="0"/>
    <x v="0"/>
    <s v="مصروفات"/>
    <d v="2026-04-09T00:00:00"/>
    <x v="3"/>
    <x v="36"/>
    <s v="لزوم دفعة اولى من اعمال الابواب والتجاليد لحجز الخشب"/>
    <n v="100000"/>
    <n v="0"/>
    <m/>
  </r>
  <r>
    <x v="0"/>
    <x v="0"/>
    <s v="مصروفات"/>
    <d v="2026-04-09T00:00:00"/>
    <x v="3"/>
    <x v="30"/>
    <s v="لزوم ثمن فاتورة معجون 1480+فاتورة كرتون 770"/>
    <n v="2250"/>
    <n v="0"/>
    <m/>
  </r>
  <r>
    <x v="0"/>
    <x v="0"/>
    <s v="مصروفات"/>
    <d v="2026-04-09T00:00:00"/>
    <x v="3"/>
    <x v="30"/>
    <s v="لزوم ثمن فاتورة 4 عيدان ميتال لزوم الشاورفي الحمامات من شعبان +50 نقل"/>
    <n v="1200"/>
    <n v="0"/>
    <m/>
  </r>
  <r>
    <x v="0"/>
    <x v="0"/>
    <s v="مصروفات"/>
    <d v="2026-04-13T00:00:00"/>
    <x v="3"/>
    <x v="30"/>
    <s v="لزوم ثمن فاتورة 2 لفة سوستة بالنقل 50 ج"/>
    <n v="250"/>
    <n v="0"/>
    <m/>
  </r>
  <r>
    <x v="0"/>
    <x v="0"/>
    <s v="مصروفات"/>
    <d v="2026-04-13T00:00:00"/>
    <x v="3"/>
    <x v="34"/>
    <s v="لزوم تشوين 5 طن جبس "/>
    <n v="1250"/>
    <n v="0"/>
    <m/>
  </r>
  <r>
    <x v="0"/>
    <x v="0"/>
    <s v="مصروفات"/>
    <d v="2026-04-14T00:00:00"/>
    <x v="3"/>
    <x v="33"/>
    <s v="لزوم ثمن دفعة ثالثة من الرخام (السلم الدوبليكس من اجمالي 130000)"/>
    <n v="50000"/>
    <n v="0"/>
    <m/>
  </r>
  <r>
    <x v="0"/>
    <x v="0"/>
    <s v="مصروفات"/>
    <d v="2026-04-14T00:00:00"/>
    <x v="3"/>
    <x v="14"/>
    <s v="لزوم ثمن فاتورة اسلاك نحاس1.5مم+2مم+  3مم+ 4 مم +6مم+10م سويدي هلال "/>
    <n v="385102"/>
    <n v="0"/>
    <m/>
  </r>
  <r>
    <x v="0"/>
    <x v="0"/>
    <s v="مصروفات"/>
    <d v="2026-04-16T00:00:00"/>
    <x v="3"/>
    <x v="14"/>
    <s v="لزوم ثمن فاتورة كابلات نت وتلفزيون  سويدي صادق"/>
    <n v="40208"/>
    <n v="0"/>
    <m/>
  </r>
  <r>
    <x v="0"/>
    <x v="0"/>
    <s v="مصروفات"/>
    <d v="2026-04-16T00:00:00"/>
    <x v="3"/>
    <x v="30"/>
    <s v="لزوم ثمن فاتورة كارتون"/>
    <n v="3800"/>
    <n v="0"/>
    <m/>
  </r>
  <r>
    <x v="0"/>
    <x v="0"/>
    <s v="مصروفات"/>
    <d v="2026-04-16T00:00:00"/>
    <x v="3"/>
    <x v="21"/>
    <s v="لزوم ثمن 3 يومية احمد العامل لتنزيل البلاط السنجابي*350"/>
    <n v="1050"/>
    <n v="0"/>
    <m/>
  </r>
  <r>
    <x v="0"/>
    <x v="0"/>
    <s v="مصروفات"/>
    <d v="2026-04-16T00:00:00"/>
    <x v="3"/>
    <x v="30"/>
    <s v="لزوم ثمن فاتورة مادة للزق السيراميك"/>
    <n v="5570"/>
    <n v="0"/>
    <m/>
  </r>
  <r>
    <x v="0"/>
    <x v="0"/>
    <s v="مصروفات"/>
    <d v="2026-04-16T00:00:00"/>
    <x v="3"/>
    <x v="30"/>
    <s v="لزوم ثمن فاتورة مشابك وكلبسات"/>
    <n v="2550"/>
    <n v="0"/>
    <m/>
  </r>
  <r>
    <x v="0"/>
    <x v="0"/>
    <s v="مصروفات"/>
    <d v="2026-04-16T00:00:00"/>
    <x v="3"/>
    <x v="30"/>
    <s v="لزوم ثمن تقفيل فاتورة من اركين لزوم المادة بالنقل"/>
    <n v="4500"/>
    <n v="0"/>
    <m/>
  </r>
  <r>
    <x v="0"/>
    <x v="0"/>
    <s v="مصروفات"/>
    <d v="2026-04-16T00:00:00"/>
    <x v="3"/>
    <x v="21"/>
    <s v="لزوم ثمن 3 يومية احمد العامل لتنزل الرخام والطوب وتنظيف الركش * 350"/>
    <n v="1050"/>
    <n v="0"/>
    <m/>
  </r>
  <r>
    <x v="0"/>
    <x v="0"/>
    <s v="مصروفات"/>
    <d v="2026-04-16T00:00:00"/>
    <x v="3"/>
    <x v="9"/>
    <s v="لزوم ثمن 2 يومية لتشوين السيراميك *350"/>
    <n v="700"/>
    <n v="0"/>
    <m/>
  </r>
  <r>
    <x v="0"/>
    <x v="0"/>
    <s v="مصروفات"/>
    <d v="2026-04-16T00:00:00"/>
    <x v="3"/>
    <x v="32"/>
    <s v="لزوم ثمن رابع دفعة من مصنعية البلاط السنجابي  لزوم الدوبليكس (الدور الثاني علوي + حمامات الدوبليكس)"/>
    <n v="20000"/>
    <n v="0"/>
    <m/>
  </r>
  <r>
    <x v="0"/>
    <x v="0"/>
    <s v="مصروفات"/>
    <d v="2026-04-16T00:00:00"/>
    <x v="3"/>
    <x v="27"/>
    <s v="واصل تاسع دفعة من اعمال جبس الواجهه "/>
    <n v="23000"/>
    <n v="0"/>
    <m/>
  </r>
  <r>
    <x v="0"/>
    <x v="0"/>
    <s v="مصروفات"/>
    <d v="2026-04-16T00:00:00"/>
    <x v="3"/>
    <x v="12"/>
    <s v="لزوم ثمن سابع دفعة من مصنعية محارة الداخلية "/>
    <n v="19000"/>
    <n v="0"/>
    <m/>
  </r>
  <r>
    <x v="0"/>
    <x v="0"/>
    <s v="مصروفات"/>
    <d v="2026-04-16T00:00:00"/>
    <x v="3"/>
    <x v="21"/>
    <s v="لزوم ثمن يومية محارة لزوم مرمات سباكة"/>
    <n v="750"/>
    <n v="0"/>
    <m/>
  </r>
  <r>
    <x v="0"/>
    <x v="0"/>
    <s v="مصروفات"/>
    <d v="2026-04-19T00:00:00"/>
    <x v="3"/>
    <x v="7"/>
    <s v="لزوم ثمن فاتورة 2طن اسمنت عاده بالمشال 7460ج+ثمن 400 طوبة بالمشال 1000ج من شركة صفوة و احمد للاسمنت "/>
    <n v="8460"/>
    <n v="0"/>
    <m/>
  </r>
  <r>
    <x v="0"/>
    <x v="0"/>
    <s v="مصروفات"/>
    <d v="2026-04-19T00:00:00"/>
    <x v="3"/>
    <x v="30"/>
    <s v="لزوم ثمن 150م بلاط سنجابي 15*20 من مصنع السعد"/>
    <n v="12000"/>
    <n v="0"/>
    <m/>
  </r>
  <r>
    <x v="0"/>
    <x v="0"/>
    <s v="مصروفات"/>
    <d v="2026-04-19T00:00:00"/>
    <x v="3"/>
    <x v="30"/>
    <s v="لزوم ثمن اكرامية تنزيل بلاط سنجابي "/>
    <n v="200"/>
    <n v="0"/>
    <m/>
  </r>
  <r>
    <x v="0"/>
    <x v="0"/>
    <s v="مصروفات"/>
    <d v="2026-04-19T00:00:00"/>
    <x v="3"/>
    <x v="33"/>
    <s v="لزوم ثمن فاتورة قطاع وزر لامع770 + 50 نقل"/>
    <n v="820"/>
    <n v="0"/>
    <m/>
  </r>
  <r>
    <x v="0"/>
    <x v="0"/>
    <s v="مصروفات"/>
    <d v="2026-04-19T00:00:00"/>
    <x v="3"/>
    <x v="18"/>
    <s v="لزوم ثمن اربع نقلات مخلفات"/>
    <n v="2100"/>
    <n v="0"/>
    <m/>
  </r>
  <r>
    <x v="0"/>
    <x v="0"/>
    <s v="مصروفات"/>
    <d v="2026-04-19T00:00:00"/>
    <x v="3"/>
    <x v="9"/>
    <s v="لزوم ثمن يومية ونش لتطليع رملة وطوب وجبس "/>
    <n v="3300"/>
    <n v="0"/>
    <m/>
  </r>
  <r>
    <x v="0"/>
    <x v="0"/>
    <s v="مصروفات"/>
    <d v="2026-04-19T00:00:00"/>
    <x v="3"/>
    <x v="18"/>
    <s v="لزوم ثمن مقشة ومساحة "/>
    <n v="160"/>
    <n v="0"/>
    <m/>
  </r>
  <r>
    <x v="0"/>
    <x v="0"/>
    <s v="مصروفات"/>
    <d v="2026-04-19T00:00:00"/>
    <x v="3"/>
    <x v="21"/>
    <s v="لزوم ثمن 3 يومية احمد العامل لتنزيل البلاط السنجابي*350"/>
    <n v="1050"/>
    <n v="0"/>
    <m/>
  </r>
  <r>
    <x v="0"/>
    <x v="0"/>
    <s v="مصروفات"/>
    <d v="2026-04-19T00:00:00"/>
    <x v="3"/>
    <x v="24"/>
    <s v="لزوم ثمن ايجار سقالة لمدة شهر 60 حطة *200 (من18-4 ل 18-5) لزوم الواجهه الامامية والجانبية"/>
    <n v="12000"/>
    <n v="0"/>
    <m/>
  </r>
  <r>
    <x v="0"/>
    <x v="0"/>
    <s v="مصروفات"/>
    <d v="2026-04-23T00:00:00"/>
    <x v="3"/>
    <x v="32"/>
    <s v="لزوم ثمن خامس دفعة من مصنعية البلاط السنجابي  لزوم الدوبليكس (الدور الثاني علوي + حمامات الدوبليكس)"/>
    <n v="25000"/>
    <n v="0"/>
    <m/>
  </r>
  <r>
    <x v="0"/>
    <x v="0"/>
    <s v="مصروفات"/>
    <d v="2026-04-23T00:00:00"/>
    <x v="3"/>
    <x v="30"/>
    <s v="لزوم ثمن فاتورة مادة للزق الارضيات بالنقل"/>
    <n v="2150"/>
    <n v="0"/>
    <m/>
  </r>
  <r>
    <x v="0"/>
    <x v="0"/>
    <s v="مصروفات"/>
    <d v="2026-04-23T00:00:00"/>
    <x v="3"/>
    <x v="21"/>
    <s v="لزوم ثمن 2 يومية عامل محارة للمرمات * 750"/>
    <n v="1500"/>
    <n v="0"/>
    <m/>
  </r>
  <r>
    <x v="0"/>
    <x v="0"/>
    <s v="مصروفات"/>
    <d v="2026-04-23T00:00:00"/>
    <x v="3"/>
    <x v="34"/>
    <s v="لزوم ثمن 20 متر رملة للارضيات"/>
    <n v="5000"/>
    <n v="0"/>
    <m/>
  </r>
  <r>
    <x v="0"/>
    <x v="0"/>
    <s v="مصروفات"/>
    <d v="2026-04-23T00:00:00"/>
    <x v="3"/>
    <x v="12"/>
    <s v="لزوم ثمن ثامن دفعة من مصنعية محارة الداخلية "/>
    <n v="14000"/>
    <n v="0"/>
    <m/>
  </r>
  <r>
    <x v="0"/>
    <x v="0"/>
    <s v="مصروفات"/>
    <d v="2026-04-23T00:00:00"/>
    <x v="3"/>
    <x v="18"/>
    <s v="لزوم ثمن مقطف للنظافة"/>
    <n v="70"/>
    <n v="0"/>
    <m/>
  </r>
  <r>
    <x v="0"/>
    <x v="0"/>
    <s v="مصروفات"/>
    <d v="2026-04-23T00:00:00"/>
    <x v="3"/>
    <x v="21"/>
    <s v="لزوم ثمن 3 يومية احمد العامل لتطليع البلاط والرمل*350"/>
    <n v="1050"/>
    <n v="0"/>
    <m/>
  </r>
  <r>
    <x v="0"/>
    <x v="0"/>
    <s v="مصروفات"/>
    <d v="2026-04-27T00:00:00"/>
    <x v="3"/>
    <x v="30"/>
    <s v="لزوم ثمن فاتورة حدايد وكرتون ومادة من اركيم "/>
    <n v="2551"/>
    <n v="0"/>
    <m/>
  </r>
  <r>
    <x v="0"/>
    <x v="0"/>
    <s v="مصروفات"/>
    <d v="2026-04-27T00:00:00"/>
    <x v="3"/>
    <x v="7"/>
    <s v="لوزم ثمن فاتورة 700 طوبة  فئة 2.2 بناء احواض الزرع في البلكونات"/>
    <n v="1540"/>
    <n v="0"/>
    <m/>
  </r>
  <r>
    <x v="0"/>
    <x v="0"/>
    <s v="مصروفات"/>
    <d v="2026-04-29T00:00:00"/>
    <x v="3"/>
    <x v="22"/>
    <s v="لزوم دفعة ثالثة من اعمال الاسانسير من اجمالي 580000"/>
    <n v="260000"/>
    <n v="0"/>
    <m/>
  </r>
  <r>
    <x v="0"/>
    <x v="0"/>
    <s v="مصروفات"/>
    <d v="2026-04-29T00:00:00"/>
    <x v="3"/>
    <x v="21"/>
    <s v="لزوم ثمن 3 يومية  احمد العامل لتنظيف الركش  *350"/>
    <n v="1050"/>
    <n v="0"/>
    <m/>
  </r>
  <r>
    <x v="0"/>
    <x v="0"/>
    <s v="مصروفات"/>
    <d v="2026-04-30T00:00:00"/>
    <x v="3"/>
    <x v="10"/>
    <s v="واصل رابع دفعة من ثمن مصنعية عزل الحمامات و المطابخ "/>
    <n v="9000"/>
    <n v="0"/>
    <m/>
  </r>
  <r>
    <x v="0"/>
    <x v="0"/>
    <s v="مصروفات"/>
    <d v="2026-04-30T00:00:00"/>
    <x v="3"/>
    <x v="21"/>
    <s v="لزوم ثمن 6 يوميات عامل محارة لزوم مرمات  احواض الزرع وغرف السلم * 750"/>
    <n v="4500"/>
    <n v="0"/>
    <m/>
  </r>
  <r>
    <x v="0"/>
    <x v="0"/>
    <s v="مصروفات"/>
    <d v="2026-04-30T00:00:00"/>
    <x v="3"/>
    <x v="27"/>
    <s v="واصل عاشر دفعة من اعمال جبس الواجهه "/>
    <n v="17600"/>
    <n v="0"/>
    <m/>
  </r>
  <r>
    <x v="0"/>
    <x v="0"/>
    <s v="مصروفات"/>
    <d v="2026-04-30T00:00:00"/>
    <x v="3"/>
    <x v="32"/>
    <s v="لزوم ثمن سادس دفعة من مصنعية البلاط السنجابي  لزوم الدوبليكس (الدور الثاني علوي + حمامات الدوبليكس)"/>
    <n v="2000"/>
    <n v="0"/>
    <m/>
  </r>
  <r>
    <x v="0"/>
    <x v="0"/>
    <s v="مصروفات"/>
    <d v="2026-04-30T00:00:00"/>
    <x v="3"/>
    <x v="21"/>
    <s v="لزوم ثمن 3 يومية  احمد العامل لتطليع البلاط وفرش كرتون * 350"/>
    <n v="1050"/>
    <n v="0"/>
    <m/>
  </r>
  <r>
    <x v="0"/>
    <x v="0"/>
    <s v="مصروفات"/>
    <d v="2026-04-30T00:00:00"/>
    <x v="3"/>
    <x v="37"/>
    <s v="لزوم ثمن فاتورة سيراميك من مظلوم ل 3 شقق الايجار "/>
    <n v="284050"/>
    <n v="0"/>
    <m/>
  </r>
  <r>
    <x v="0"/>
    <x v="0"/>
    <s v="مصروفات"/>
    <d v="2026-05-06T00:00:00"/>
    <x v="3"/>
    <x v="18"/>
    <s v="لزوم 5 يومية عامل لتظيف الركش *350"/>
    <n v="1750"/>
    <n v="0"/>
    <m/>
  </r>
  <r>
    <x v="0"/>
    <x v="0"/>
    <s v="مصروفات"/>
    <d v="2026-05-06T00:00:00"/>
    <x v="3"/>
    <x v="6"/>
    <s v="واصل من اعمال الشبابيك الالوميتال الدور الأرضي "/>
    <n v="50000"/>
    <n v="0"/>
    <m/>
  </r>
  <r>
    <x v="0"/>
    <x v="0"/>
    <s v="مصروفات"/>
    <d v="2026-05-06T00:00:00"/>
    <x v="3"/>
    <x v="14"/>
    <s v="لزوم ثمن فاتور4 لفات خرطوم + 50 نقل "/>
    <n v="450"/>
    <n v="0"/>
    <m/>
  </r>
  <r>
    <x v="0"/>
    <x v="0"/>
    <s v="مصروفات"/>
    <d v="2026-05-06T00:00:00"/>
    <x v="3"/>
    <x v="13"/>
    <s v="لزوم ثمن مصنعية كهربائي للواجهه الامامية والجانبية"/>
    <n v="4000"/>
    <n v="0"/>
    <m/>
  </r>
  <r>
    <x v="0"/>
    <x v="0"/>
    <s v="مصروفات"/>
    <d v="2026-05-06T00:00:00"/>
    <x v="3"/>
    <x v="27"/>
    <s v="واصل الدفعة الحادية عشر من اعمال جبس الواجهه "/>
    <n v="10000"/>
    <n v="0"/>
    <m/>
  </r>
  <r>
    <x v="0"/>
    <x v="0"/>
    <s v="مصروفات"/>
    <d v="2026-05-09T00:00:00"/>
    <x v="3"/>
    <x v="14"/>
    <s v="لزوم ثمن فاتورة 14 لفة فليكس *100 +50 نقل"/>
    <n v="1450"/>
    <n v="0"/>
    <m/>
  </r>
  <r>
    <x v="0"/>
    <x v="0"/>
    <s v="مصروفات"/>
    <d v="2026-05-09T00:00:00"/>
    <x v="3"/>
    <x v="14"/>
    <s v="لوزم ثمن فاتورة اربع اعواد مجناتك 850+ 50 نقل"/>
    <n v="900"/>
    <n v="0"/>
    <m/>
  </r>
  <r>
    <x v="0"/>
    <x v="0"/>
    <s v="مصروفات"/>
    <d v="2026-05-09T00:00:00"/>
    <x v="3"/>
    <x v="14"/>
    <s v="لزوم ثمن فاتورة كهرباء 6 لمبة + 6 دوايات + شريط لحام"/>
    <n v="915"/>
    <n v="0"/>
    <m/>
  </r>
  <r>
    <x v="0"/>
    <x v="0"/>
    <s v="مصروفات"/>
    <d v="2026-05-10T00:00:00"/>
    <x v="3"/>
    <x v="21"/>
    <s v="لزوم 2 يومية عامل لتطليع السيراميك"/>
    <n v="600"/>
    <n v="0"/>
    <m/>
  </r>
  <r>
    <x v="0"/>
    <x v="0"/>
    <s v="مصروفات"/>
    <d v="2026-05-10T00:00:00"/>
    <x v="3"/>
    <x v="24"/>
    <s v="لزوم ثمن فك ونصب السقالة من الواجهه الامامية للواجهه الخلفية"/>
    <n v="810"/>
    <n v="0"/>
    <m/>
  </r>
  <r>
    <x v="0"/>
    <x v="0"/>
    <s v="مصروفات"/>
    <d v="2026-05-10T00:00:00"/>
    <x v="3"/>
    <x v="21"/>
    <s v="لزوم ثمن يومية عامل بهلتي لنحت بلاط خرسانية ( بير الاسانسير)"/>
    <n v="750"/>
    <n v="0"/>
    <m/>
  </r>
  <r>
    <x v="0"/>
    <x v="0"/>
    <s v="مصروفات"/>
    <d v="2026-05-10T00:00:00"/>
    <x v="3"/>
    <x v="37"/>
    <s v="لزوم ثمن فاتورة سيراميك من أبو العوام لشقة د ايه وهيا"/>
    <n v="98000"/>
    <n v="0"/>
    <m/>
  </r>
  <r>
    <x v="0"/>
    <x v="0"/>
    <s v="مصروفات"/>
    <d v="2026-05-11T00:00:00"/>
    <x v="3"/>
    <x v="21"/>
    <s v="لزوم ثمن 2 يومية للحفر للكابلات"/>
    <n v="600"/>
    <n v="0"/>
    <m/>
  </r>
  <r>
    <x v="0"/>
    <x v="0"/>
    <s v="مصروفات"/>
    <d v="2026-05-11T00:00:00"/>
    <x v="3"/>
    <x v="38"/>
    <s v="لزوم ثمن نقل الكابلات"/>
    <n v="150"/>
    <n v="0"/>
    <m/>
  </r>
  <r>
    <x v="0"/>
    <x v="0"/>
    <s v="مصروفات"/>
    <d v="2026-05-11T00:00:00"/>
    <x v="3"/>
    <x v="4"/>
    <s v="اكرامية لعمال توصيل الكابلات"/>
    <n v="400"/>
    <n v="0"/>
    <m/>
  </r>
  <r>
    <x v="0"/>
    <x v="0"/>
    <s v="مصروفات"/>
    <d v="2026-05-12T00:00:00"/>
    <x v="3"/>
    <x v="21"/>
    <s v="يومية عامل محارة"/>
    <n v="350"/>
    <n v="0"/>
    <m/>
  </r>
  <r>
    <x v="0"/>
    <x v="0"/>
    <s v="مصروفات"/>
    <d v="2026-05-12T00:00:00"/>
    <x v="3"/>
    <x v="26"/>
    <s v="لزوم ثمن الجبسون بورد للشقة يمين السلم الدور الثالث"/>
    <n v="49450"/>
    <n v="0"/>
    <m/>
  </r>
  <r>
    <x v="0"/>
    <x v="0"/>
    <s v="مصروفات"/>
    <d v="2026-05-12T00:00:00"/>
    <x v="3"/>
    <x v="37"/>
    <s v="لزوم ثمن فاتورة سيراميك لشقة د محمد من شعبان "/>
    <n v="85000"/>
    <n v="0"/>
    <m/>
  </r>
  <r>
    <x v="0"/>
    <x v="0"/>
    <s v="مصروفات"/>
    <d v="2026-05-14T00:00:00"/>
    <x v="3"/>
    <x v="14"/>
    <s v="لزوم ثمن فاتورة كهرباء من أولاد فاضل"/>
    <n v="9950"/>
    <n v="0"/>
    <m/>
  </r>
  <r>
    <x v="0"/>
    <x v="0"/>
    <s v="مصروفات"/>
    <d v="2026-05-14T00:00:00"/>
    <x v="3"/>
    <x v="37"/>
    <s v="لزوم ثمن فاتورتيب +قفل  من اركيم "/>
    <n v="510"/>
    <n v="0"/>
    <m/>
  </r>
  <r>
    <x v="0"/>
    <x v="0"/>
    <s v="مصروفات"/>
    <d v="2026-05-14T00:00:00"/>
    <x v="3"/>
    <x v="33"/>
    <s v="لزوم ثمن فاتورة مادة للصق الرخام من اركيم"/>
    <n v="1230"/>
    <n v="0"/>
    <m/>
  </r>
  <r>
    <x v="0"/>
    <x v="0"/>
    <s v="مصروفات"/>
    <d v="2026-05-14T00:00:00"/>
    <x v="3"/>
    <x v="21"/>
    <s v="لزوم ثمن 5 يومية احمد العامل لتنظيف الركش واعمال نظافة*350 +نقل بالتوكتوك"/>
    <n v="1900"/>
    <n v="0"/>
    <m/>
  </r>
  <r>
    <x v="0"/>
    <x v="0"/>
    <s v="مصروفات"/>
    <d v="2026-05-14T00:00:00"/>
    <x v="3"/>
    <x v="15"/>
    <s v="لزوم ثمن بنطة لعمال الاسانسير "/>
    <n v="250"/>
    <n v="0"/>
    <m/>
  </r>
  <r>
    <x v="0"/>
    <x v="0"/>
    <s v="مصروفات"/>
    <d v="2026-05-15T00:00:00"/>
    <x v="3"/>
    <x v="21"/>
    <s v="لزوم ثمن يومية لنحات الكمرة"/>
    <n v="750"/>
    <n v="0"/>
    <m/>
  </r>
  <r>
    <x v="0"/>
    <x v="0"/>
    <s v="مصروفات"/>
    <d v="2026-05-15T00:00:00"/>
    <x v="3"/>
    <x v="27"/>
    <s v="واصل الدفعة الثانية عشر من اعمال جبس الواجهه "/>
    <n v="7000"/>
    <n v="0"/>
    <m/>
  </r>
  <r>
    <x v="0"/>
    <x v="0"/>
    <s v="مصروفات"/>
    <d v="2026-05-15T00:00:00"/>
    <x v="3"/>
    <x v="3"/>
    <s v="لزوم ثمن اجرة 2 عامل بهلتي وصاروخ لفتح فتحات الاسانسير (بالمقطوعية)"/>
    <n v="1300"/>
    <n v="0"/>
    <m/>
  </r>
  <r>
    <x v="0"/>
    <x v="0"/>
    <s v="مصروفات"/>
    <d v="2026-05-15T00:00:00"/>
    <x v="3"/>
    <x v="3"/>
    <s v="لزوم عامل بصاروخ  لقطع حديد الكمرة "/>
    <n v="250"/>
    <n v="0"/>
    <m/>
  </r>
  <r>
    <x v="0"/>
    <x v="0"/>
    <s v="مصروفات"/>
    <d v="2026-05-15T00:00:00"/>
    <x v="3"/>
    <x v="18"/>
    <s v="لزوم ايجار لودر لتسوية امام الفيلا لزوم السقالة"/>
    <n v="350"/>
    <n v="0"/>
    <m/>
  </r>
  <r>
    <x v="0"/>
    <x v="0"/>
    <s v="مصروفات"/>
    <d v="2026-05-15T00:00:00"/>
    <x v="3"/>
    <x v="12"/>
    <s v="لزوم ثمن يومية محارة ( لصب الكاستير)"/>
    <n v="750"/>
    <n v="0"/>
    <m/>
  </r>
  <r>
    <x v="0"/>
    <x v="0"/>
    <s v="مصروفات"/>
    <d v="2026-05-15T00:00:00"/>
    <x v="3"/>
    <x v="34"/>
    <s v="لزوم ثمن خمس شكايرجبس +شكارة اسمنت ابيض"/>
    <n v="600"/>
    <n v="0"/>
    <m/>
  </r>
  <r>
    <x v="0"/>
    <x v="0"/>
    <s v="مصروفات"/>
    <d v="2026-05-16T00:00:00"/>
    <x v="3"/>
    <x v="38"/>
    <s v="لزوم ثمن نقلتين مواسير و كلبسات وقواعد للسقالة"/>
    <n v="400"/>
    <n v="0"/>
    <m/>
  </r>
  <r>
    <x v="0"/>
    <x v="0"/>
    <s v="مصروفات"/>
    <d v="2026-05-16T00:00:00"/>
    <x v="3"/>
    <x v="24"/>
    <s v="لزوم ثمن نصب السقالة الامامية "/>
    <n v="1600"/>
    <n v="0"/>
    <m/>
  </r>
  <r>
    <x v="0"/>
    <x v="0"/>
    <s v="مصروفات"/>
    <d v="2026-05-17T00:00:00"/>
    <x v="3"/>
    <x v="15"/>
    <s v="لزوم ثمن فاتورة ماسورة 32 مم"/>
    <n v="290"/>
    <n v="0"/>
    <m/>
  </r>
  <r>
    <x v="0"/>
    <x v="0"/>
    <s v="مصروفات"/>
    <d v="2026-05-17T00:00:00"/>
    <x v="3"/>
    <x v="39"/>
    <s v="لزوم ثمن شكارة بلانكو + قفل"/>
    <n v="200"/>
    <n v="0"/>
    <m/>
  </r>
  <r>
    <x v="0"/>
    <x v="0"/>
    <s v="مصروفات"/>
    <d v="2026-05-18T00:00:00"/>
    <x v="3"/>
    <x v="39"/>
    <s v="لزوم ثمن فاتورة من اركيم لزوم 30 معجون +10 سيلير"/>
    <n v="18900"/>
    <n v="0"/>
    <m/>
  </r>
  <r>
    <x v="0"/>
    <x v="0"/>
    <s v="مصروفات"/>
    <d v="2026-05-19T00:00:00"/>
    <x v="3"/>
    <x v="40"/>
    <s v="لزوم ثمن يوميات لتنزيل السيراميك "/>
    <n v="1000"/>
    <n v="0"/>
    <m/>
  </r>
  <r>
    <x v="0"/>
    <x v="0"/>
    <s v="مصروفات"/>
    <d v="2026-05-19T00:00:00"/>
    <x v="3"/>
    <x v="40"/>
    <s v="لزوم اكرامية للسواق لزوم نقل السيراميك "/>
    <n v="200"/>
    <n v="0"/>
    <m/>
  </r>
  <r>
    <x v="0"/>
    <x v="0"/>
    <s v="مصروفات"/>
    <d v="2026-05-19T00:00:00"/>
    <x v="3"/>
    <x v="27"/>
    <s v="لزوم ثمن فاتورة من اركيم لزوم عدد 50 بستلة دانيون+4 سيلير حراري+5 سيلير مقاوم +صنفرة وتنر "/>
    <n v="17880"/>
    <n v="0"/>
    <m/>
  </r>
  <r>
    <x v="0"/>
    <x v="0"/>
    <s v="مصروفات"/>
    <d v="2026-04-19T00:00:00"/>
    <x v="3"/>
    <x v="24"/>
    <s v="لزوم ثمن ايجار سقالة لمدة شهر 60 حطة *200 (من18-4 ل 18-5) لزوم الواجهه الامامية والجانبية"/>
    <n v="12000"/>
    <n v="0"/>
    <m/>
  </r>
  <r>
    <x v="0"/>
    <x v="0"/>
    <s v="مصروفات"/>
    <d v="2026-05-21T00:00:00"/>
    <x v="3"/>
    <x v="21"/>
    <s v="لزوم ثمن 3 يوميات نحات  * 400"/>
    <n v="1200"/>
    <n v="0"/>
    <m/>
  </r>
  <r>
    <x v="0"/>
    <x v="0"/>
    <s v="مصروفات"/>
    <d v="2026-05-21T00:00:00"/>
    <x v="3"/>
    <x v="21"/>
    <s v="لزوم ي2 يومية ل احمد العامل لزوم النظافة"/>
    <n v="700"/>
    <n v="0"/>
    <m/>
  </r>
  <r>
    <x v="0"/>
    <x v="0"/>
    <s v="مصروفات"/>
    <d v="2026-05-21T00:00:00"/>
    <x v="3"/>
    <x v="9"/>
    <s v="لزوم ثمن فاتورة 10شكاير اسمنت"/>
    <n v="2100"/>
    <n v="0"/>
    <m/>
  </r>
  <r>
    <x v="0"/>
    <x v="0"/>
    <s v="مصروفات"/>
    <d v="2026-05-21T00:00:00"/>
    <x v="3"/>
    <x v="9"/>
    <s v="لزوم ثمن 1000 طوبة "/>
    <n v="2350"/>
    <n v="0"/>
    <m/>
  </r>
  <r>
    <x v="0"/>
    <x v="0"/>
    <s v="مصروفات"/>
    <d v="2026-05-21T00:00:00"/>
    <x v="3"/>
    <x v="27"/>
    <s v="واصل الدفعة الثانية عشر من اعمال جبس الواجهه "/>
    <n v="20000"/>
    <n v="0"/>
    <m/>
  </r>
  <r>
    <x v="0"/>
    <x v="0"/>
    <s v="مصروفات"/>
    <d v="2026-05-21T00:00:00"/>
    <x v="3"/>
    <x v="26"/>
    <s v="لزوم جبسون بورد الحمامات  شقق الأرضي والأول علوي"/>
    <n v="95000"/>
    <n v="0"/>
    <m/>
  </r>
  <r>
    <x v="0"/>
    <x v="0"/>
    <s v="مصروفات"/>
    <d v="2026-05-23T00:00:00"/>
    <x v="3"/>
    <x v="39"/>
    <s v="لزوم ثمن فاتورة دهانات من اركيم 4  مثبومتين بالنقل"/>
    <n v="1500"/>
    <n v="0"/>
    <m/>
  </r>
  <r>
    <x v="0"/>
    <x v="0"/>
    <s v="مصروفات"/>
    <d v="2026-05-23T00:00:00"/>
    <x v="3"/>
    <x v="39"/>
    <s v="لزوم ثمن فاتورة عدد 10 مركز  من اركيم "/>
    <n v="150"/>
    <n v="0"/>
    <m/>
  </r>
  <r>
    <x v="0"/>
    <x v="0"/>
    <s v="مصروفات"/>
    <d v="2026-05-23T00:00:00"/>
    <x v="3"/>
    <x v="21"/>
    <s v="لزوم ثمن يوميات لرفع 500 طوبة الدور السادس ورفع ماكينة الاسانسير وتنزل عربية البورسلين "/>
    <n v="1800"/>
    <n v="0"/>
    <m/>
  </r>
  <r>
    <x v="0"/>
    <x v="0"/>
    <s v="مصروفات"/>
    <d v="2026-05-23T00:00:00"/>
    <x v="3"/>
    <x v="4"/>
    <s v="لزوم ثمن اكرامية سواق عربية البورسلين"/>
    <n v="200"/>
    <n v="0"/>
    <m/>
  </r>
  <r>
    <x v="0"/>
    <x v="0"/>
    <s v="مصروفات"/>
    <d v="2026-05-23T00:00:00"/>
    <x v="3"/>
    <x v="7"/>
    <s v="لزوم ثمن يوميات لزوم بناء غرفة الاسانسير"/>
    <n v="2000"/>
    <n v="0"/>
    <m/>
  </r>
  <r>
    <x v="0"/>
    <x v="0"/>
    <s v="مصروفات"/>
    <d v="2026-05-23T00:00:00"/>
    <x v="3"/>
    <x v="39"/>
    <s v="واصل من مصنعية النقاش "/>
    <n v="5000"/>
    <n v="0"/>
    <m/>
  </r>
  <r>
    <x v="0"/>
    <x v="0"/>
    <s v="مصروفات"/>
    <d v="2026-05-25T00:00:00"/>
    <x v="3"/>
    <x v="7"/>
    <s v="لزوم 3 يوميات للنحات لنحت العراميس"/>
    <n v="1200"/>
    <n v="0"/>
    <m/>
  </r>
  <r>
    <x v="0"/>
    <x v="0"/>
    <s v="مصروفات"/>
    <d v="2026-05-25T00:00:00"/>
    <x v="3"/>
    <x v="27"/>
    <s v="واصل الدفعة الثالثة عشر من اعمال جبس الواجهه "/>
    <n v="8000"/>
    <n v="0"/>
    <m/>
  </r>
  <r>
    <x v="0"/>
    <x v="0"/>
    <s v="مصروفات"/>
    <d v="2026-05-25T00:00:00"/>
    <x v="3"/>
    <x v="41"/>
    <s v="لزوم ثمن 4 يوميات محارة *750"/>
    <n v="3000"/>
    <n v="0"/>
    <m/>
  </r>
  <r>
    <x v="0"/>
    <x v="0"/>
    <s v="مصروفات"/>
    <d v="2026-05-25T00:00:00"/>
    <x v="3"/>
    <x v="21"/>
    <s v="لزوم 2 يومية احمد العامل للنظافة "/>
    <n v="700"/>
    <n v="0"/>
    <m/>
  </r>
  <r>
    <x v="0"/>
    <x v="0"/>
    <s v="مصروفات"/>
    <d v="2026-05-25T00:00:00"/>
    <x v="3"/>
    <x v="9"/>
    <s v="لزوم ثمن 10 شكاير اسمنت "/>
    <n v="2000"/>
    <n v="0"/>
    <m/>
  </r>
  <r>
    <x v="0"/>
    <x v="0"/>
    <s v="اشراف"/>
    <d v="2026-02-13T00:00:00"/>
    <x v="4"/>
    <x v="42"/>
    <s v="نسبة الاشراف على التشطيبات 10%"/>
    <n v="665306.5"/>
    <n v="0"/>
    <m/>
  </r>
  <r>
    <x v="0"/>
    <x v="0"/>
    <s v="مصروفات"/>
    <d v="2025-05-01T00:00:00"/>
    <x v="5"/>
    <x v="7"/>
    <s v="لزوم ثمن 7 طن اسمنت لزوم صب السور"/>
    <n v="24150"/>
    <n v="0"/>
    <m/>
  </r>
  <r>
    <x v="0"/>
    <x v="0"/>
    <s v="مصروفات"/>
    <d v="2025-05-01T00:00:00"/>
    <x v="5"/>
    <x v="7"/>
    <s v="لزوم ثمن طن و200 كيلو حديد + 500 كيلو كانات لزوم السور"/>
    <n v="49900"/>
    <n v="0"/>
    <m/>
  </r>
  <r>
    <x v="0"/>
    <x v="0"/>
    <s v="مصروفات"/>
    <d v="2025-05-01T00:00:00"/>
    <x v="5"/>
    <x v="7"/>
    <s v="لزوم اكرامية سواق مقطورة للحديد"/>
    <n v="100"/>
    <n v="0"/>
    <m/>
  </r>
  <r>
    <x v="0"/>
    <x v="0"/>
    <s v="مصروفات"/>
    <d v="2025-05-01T00:00:00"/>
    <x v="5"/>
    <x v="7"/>
    <s v="لزوم ثمن سلك رباط لزوم حدادة السور"/>
    <n v="350"/>
    <n v="0"/>
    <m/>
  </r>
  <r>
    <x v="0"/>
    <x v="0"/>
    <s v="مصروفات"/>
    <d v="2025-05-01T00:00:00"/>
    <x v="5"/>
    <x v="7"/>
    <s v="لزوم ثمن 25 منر خرطوم 3/4 لزوم الصبة"/>
    <n v="750"/>
    <n v="0"/>
    <m/>
  </r>
  <r>
    <x v="0"/>
    <x v="0"/>
    <s v="مصروفات"/>
    <d v="2025-05-01T00:00:00"/>
    <x v="5"/>
    <x v="7"/>
    <s v="لزوم ثمن 7 طن اسمنت لزوم صب السور"/>
    <n v="24150"/>
    <n v="0"/>
    <m/>
  </r>
  <r>
    <x v="0"/>
    <x v="0"/>
    <s v="مصروفات"/>
    <d v="2025-05-01T00:00:00"/>
    <x v="5"/>
    <x v="7"/>
    <s v="لزوم ثمن طن و200 كيلو حديد + 500 كيلو كانات لزوم السور"/>
    <n v="49900"/>
    <n v="0"/>
    <m/>
  </r>
  <r>
    <x v="0"/>
    <x v="0"/>
    <s v="مصروفات"/>
    <d v="2025-05-01T00:00:00"/>
    <x v="5"/>
    <x v="7"/>
    <s v="لزوم اكرامية سواق مقطورة للحديد"/>
    <n v="100"/>
    <n v="0"/>
    <m/>
  </r>
  <r>
    <x v="0"/>
    <x v="0"/>
    <s v="مصروفات"/>
    <d v="2025-05-01T00:00:00"/>
    <x v="5"/>
    <x v="7"/>
    <s v="لزوم ثمن المون ( رمل + سن)"/>
    <n v="9500"/>
    <n v="0"/>
    <m/>
  </r>
  <r>
    <x v="0"/>
    <x v="0"/>
    <s v="مصروفات"/>
    <d v="2025-05-01T00:00:00"/>
    <x v="5"/>
    <x v="7"/>
    <s v="لزوم ثمن سلك رباط لزوم حدادة السور"/>
    <n v="350"/>
    <n v="0"/>
    <m/>
  </r>
  <r>
    <x v="0"/>
    <x v="0"/>
    <s v="مصروفات"/>
    <d v="2025-05-01T00:00:00"/>
    <x v="5"/>
    <x v="7"/>
    <s v="لزوم ثمن 25 منر خرطوم 3/4 لزوم الصبة"/>
    <n v="750"/>
    <n v="0"/>
    <m/>
  </r>
  <r>
    <x v="0"/>
    <x v="0"/>
    <s v="مصروفات"/>
    <d v="2025-08-21T00:00:00"/>
    <x v="5"/>
    <x v="43"/>
    <s v="واصل اول دفعة من اعمال نجارة اعمدة الدور الرابع "/>
    <n v="10000"/>
    <n v="0"/>
    <m/>
  </r>
  <r>
    <x v="0"/>
    <x v="0"/>
    <s v="مصروفات"/>
    <d v="2025-08-21T00:00:00"/>
    <x v="5"/>
    <x v="7"/>
    <s v="لزوم يومية 2 عامل لازالة صدا الاشاير شامل سلك الصنفرة والصاروخ "/>
    <n v="1700"/>
    <n v="0"/>
    <m/>
  </r>
  <r>
    <x v="0"/>
    <x v="0"/>
    <s v="مصروفات"/>
    <d v="2025-08-21T00:00:00"/>
    <x v="5"/>
    <x v="7"/>
    <s v="لزوم ثمن فاتورة سلك رباط 20 كيلو لزوم حدادة الاعمدة "/>
    <n v="950"/>
    <n v="0"/>
    <m/>
  </r>
  <r>
    <x v="0"/>
    <x v="0"/>
    <s v="مصروفات"/>
    <d v="2025-08-21T00:00:00"/>
    <x v="5"/>
    <x v="7"/>
    <s v="لزوم ثمن 6 طن اسمنت لزوم صبة اعمدة الدور الرابع "/>
    <n v="23400"/>
    <n v="0"/>
    <m/>
  </r>
  <r>
    <x v="0"/>
    <x v="0"/>
    <s v="مصروفات"/>
    <d v="2025-08-21T00:00:00"/>
    <x v="5"/>
    <x v="7"/>
    <s v="لزوم ثمن 58 متر رمل لزوم صبة اعمدة وسقف الدور الرابع "/>
    <n v="11600"/>
    <n v="0"/>
    <m/>
  </r>
  <r>
    <x v="0"/>
    <x v="0"/>
    <s v="مصروفات"/>
    <d v="2025-08-21T00:00:00"/>
    <x v="5"/>
    <x v="7"/>
    <s v="لزوم ثمن 58 متر سن  لزوم صبة اعمدة وسقف الدور الرابع "/>
    <n v="18550"/>
    <n v="0"/>
    <m/>
  </r>
  <r>
    <x v="0"/>
    <x v="0"/>
    <s v="مصروفات"/>
    <d v="2025-08-21T00:00:00"/>
    <x v="5"/>
    <x v="7"/>
    <s v="لزوم اكرامية خلاط صب الاعمدة "/>
    <n v="500"/>
    <n v="0"/>
    <m/>
  </r>
  <r>
    <x v="0"/>
    <x v="0"/>
    <s v="مصروفات"/>
    <d v="2025-08-21T00:00:00"/>
    <x v="5"/>
    <x v="43"/>
    <s v="لزوم ثمن 8974 كيلو حديد لزوم حدادة اعمدة وسقف  الدور الرابع بالنقل والتحميل "/>
    <n v="331500"/>
    <n v="0"/>
    <m/>
  </r>
  <r>
    <x v="0"/>
    <x v="0"/>
    <s v="مصروفات"/>
    <d v="2025-05-01T00:00:00"/>
    <x v="5"/>
    <x v="43"/>
    <s v="واصل دفعة اولى من حساب النجار"/>
    <n v="20000"/>
    <n v="0"/>
    <m/>
  </r>
  <r>
    <x v="0"/>
    <x v="0"/>
    <s v="مصروفات"/>
    <d v="2025-05-09T00:00:00"/>
    <x v="5"/>
    <x v="43"/>
    <s v="لزوم ثمن طن اسمنت  بالنقل"/>
    <n v="3600"/>
    <n v="0"/>
    <m/>
  </r>
  <r>
    <x v="0"/>
    <x v="0"/>
    <s v="مصروفات"/>
    <d v="2025-05-09T00:00:00"/>
    <x v="5"/>
    <x v="43"/>
    <s v="لزوم ثمن مون ( رمل و زلط)"/>
    <n v="3500"/>
    <n v="0"/>
    <m/>
  </r>
  <r>
    <x v="0"/>
    <x v="0"/>
    <s v="مصروفات"/>
    <d v="2025-05-09T00:00:00"/>
    <x v="5"/>
    <x v="43"/>
    <s v="واصل دفعة ثانية من حساب النجار"/>
    <n v="10000"/>
    <n v="0"/>
    <m/>
  </r>
  <r>
    <x v="0"/>
    <x v="0"/>
    <s v="مصروفات"/>
    <d v="2025-08-21T00:00:00"/>
    <x v="5"/>
    <x v="43"/>
    <s v="واصل ثاني دفعة من اعمدة ونجارة اعمدة و سقف الدور الرابع "/>
    <n v="15000"/>
    <n v="0"/>
    <m/>
  </r>
  <r>
    <x v="0"/>
    <x v="0"/>
    <s v="مصروفات"/>
    <d v="2025-08-28T00:00:00"/>
    <x v="5"/>
    <x v="7"/>
    <s v="لزوم ثمن سلك رباط لسقف الدور الرابع"/>
    <n v="950"/>
    <n v="0"/>
    <m/>
  </r>
  <r>
    <x v="0"/>
    <x v="0"/>
    <s v="مصروفات"/>
    <d v="2025-08-28T00:00:00"/>
    <x v="5"/>
    <x v="7"/>
    <s v="لزوم ثمن2 عربية مياه لصب سقف الرابع "/>
    <n v="1100"/>
    <n v="0"/>
    <m/>
  </r>
  <r>
    <x v="0"/>
    <x v="0"/>
    <s v="مصروفات"/>
    <d v="2025-08-28T00:00:00"/>
    <x v="5"/>
    <x v="43"/>
    <s v="واصل باقي مصنعية النجار المسلح لاعمدة وسقف الرابع بأجمالي 121م3 سعر المتر 550 "/>
    <n v="41550"/>
    <n v="0"/>
    <m/>
  </r>
  <r>
    <x v="0"/>
    <x v="0"/>
    <s v="مصروفات"/>
    <d v="2025-08-28T00:00:00"/>
    <x v="5"/>
    <x v="7"/>
    <s v="لزوم ثمن 2 يومية خلاطة لصب السقف والاعمدة "/>
    <n v="2400"/>
    <n v="0"/>
    <m/>
  </r>
  <r>
    <x v="0"/>
    <x v="0"/>
    <s v="مصروفات"/>
    <d v="2025-08-28T00:00:00"/>
    <x v="5"/>
    <x v="7"/>
    <s v="لزوم ثمن ابلكاش لداير البلكونات"/>
    <n v="600"/>
    <n v="0"/>
    <m/>
  </r>
  <r>
    <x v="0"/>
    <x v="0"/>
    <s v="مصروفات"/>
    <d v="2025-08-28T00:00:00"/>
    <x v="5"/>
    <x v="7"/>
    <s v="لزوم ثمن اكرامية خلاطة صب السقف "/>
    <n v="500"/>
    <n v="0"/>
    <m/>
  </r>
  <r>
    <x v="0"/>
    <x v="0"/>
    <s v="مصروفات"/>
    <d v="2025-08-28T00:00:00"/>
    <x v="5"/>
    <x v="7"/>
    <s v="لزوم ثمن بسكوت للكفر الخرساني للسقف "/>
    <n v="400"/>
    <n v="0"/>
    <m/>
  </r>
  <r>
    <x v="0"/>
    <x v="0"/>
    <s v="مصروفات"/>
    <d v="2025-08-28T00:00:00"/>
    <x v="5"/>
    <x v="7"/>
    <s v="لزوم يومية عامل لوضع بسكوت السقف "/>
    <n v="350"/>
    <n v="0"/>
    <m/>
  </r>
  <r>
    <x v="0"/>
    <x v="0"/>
    <s v="مصروفات"/>
    <d v="2025-08-28T00:00:00"/>
    <x v="5"/>
    <x v="7"/>
    <s v="لزوم ثمن شمبر لداير الكمر و السقف "/>
    <n v="150"/>
    <n v="0"/>
    <m/>
  </r>
  <r>
    <x v="0"/>
    <x v="0"/>
    <s v="مصروفات"/>
    <d v="2025-08-28T00:00:00"/>
    <x v="5"/>
    <x v="7"/>
    <s v="لزوم ايجار هزاز لصب السقف "/>
    <n v="500"/>
    <n v="0"/>
    <m/>
  </r>
  <r>
    <x v="0"/>
    <x v="0"/>
    <s v="مصروفات"/>
    <d v="2025-08-28T00:00:00"/>
    <x v="5"/>
    <x v="7"/>
    <s v="لزوم اكرامية عمال تنزيل الاسمنت "/>
    <n v="200"/>
    <n v="0"/>
    <m/>
  </r>
  <r>
    <x v="0"/>
    <x v="0"/>
    <s v="مصروفات"/>
    <d v="2025-08-28T00:00:00"/>
    <x v="5"/>
    <x v="7"/>
    <s v="لزوم ثمن 21 طن اسمنت لصب السقف * 3700"/>
    <n v="77700"/>
    <n v="0"/>
    <m/>
  </r>
  <r>
    <x v="0"/>
    <x v="0"/>
    <s v="مصروفات"/>
    <d v="2025-08-28T00:00:00"/>
    <x v="5"/>
    <x v="16"/>
    <s v="لزوم ثمن نص طن حديد 3 ليني و 200 كيلو كانات "/>
    <n v="26550"/>
    <n v="0"/>
    <m/>
  </r>
  <r>
    <x v="0"/>
    <x v="0"/>
    <s v="مصروفات"/>
    <d v="2025-09-02T00:00:00"/>
    <x v="5"/>
    <x v="7"/>
    <s v="لزوم ثمن عربية سن 20 متر لصب السقف "/>
    <n v="6500"/>
    <n v="0"/>
    <m/>
  </r>
  <r>
    <x v="0"/>
    <x v="0"/>
    <s v="مصروفات"/>
    <d v="2025-09-02T00:00:00"/>
    <x v="5"/>
    <x v="7"/>
    <s v="لزوم ثمن ايجار لودر ساعة لجر الحديد ورفع التشوينات "/>
    <n v="500"/>
    <n v="0"/>
    <m/>
  </r>
  <r>
    <x v="0"/>
    <x v="0"/>
    <s v="مصروفات"/>
    <d v="2025-09-11T00:00:00"/>
    <x v="5"/>
    <x v="7"/>
    <s v="لزوم ثمن لفة سلك رباط لاعمدة الدور الخامس "/>
    <n v="950"/>
    <n v="0"/>
    <m/>
  </r>
  <r>
    <x v="0"/>
    <x v="0"/>
    <s v="مصروفات"/>
    <d v="2025-09-11T00:00:00"/>
    <x v="5"/>
    <x v="7"/>
    <s v="واصل اول دفعة من مصنعية النجار الدور الخامس"/>
    <n v="30000"/>
    <n v="0"/>
    <m/>
  </r>
  <r>
    <x v="0"/>
    <x v="0"/>
    <s v="مصروفات"/>
    <d v="2025-09-11T00:00:00"/>
    <x v="5"/>
    <x v="7"/>
    <s v="لزوم ثمن 7 طن اسمنت لصب اعمدة الدور الخامس "/>
    <n v="22500"/>
    <n v="0"/>
    <m/>
  </r>
  <r>
    <x v="0"/>
    <x v="0"/>
    <s v="مصروفات"/>
    <d v="2025-09-11T00:00:00"/>
    <x v="5"/>
    <x v="7"/>
    <s v="لزوم ثمن عربية سن 20 متر لصب اعمدة الدور الخامس "/>
    <n v="6500"/>
    <n v="0"/>
    <m/>
  </r>
  <r>
    <x v="0"/>
    <x v="0"/>
    <s v="مصروفات"/>
    <d v="2025-09-11T00:00:00"/>
    <x v="5"/>
    <x v="7"/>
    <s v="لزوم ثمن عربية رمل 20 متر لصب اعمدة الدور الخامس "/>
    <n v="4200"/>
    <n v="0"/>
    <m/>
  </r>
  <r>
    <x v="0"/>
    <x v="0"/>
    <s v="مصروفات"/>
    <d v="2025-09-11T00:00:00"/>
    <x v="5"/>
    <x v="7"/>
    <s v="لزوم ايجار ساعة لودر لتقريب التشوين لزوم صب الاعمدة "/>
    <n v="450"/>
    <n v="0"/>
    <m/>
  </r>
  <r>
    <x v="0"/>
    <x v="0"/>
    <s v="مصروفات"/>
    <d v="2025-09-18T00:00:00"/>
    <x v="5"/>
    <x v="7"/>
    <s v="لزوم ثمن لفة سلك رباط لسقف  الدور الخامس "/>
    <n v="900"/>
    <n v="0"/>
    <m/>
  </r>
  <r>
    <x v="0"/>
    <x v="0"/>
    <s v="مصروفات"/>
    <d v="2025-09-18T00:00:00"/>
    <x v="5"/>
    <x v="7"/>
    <s v="لزوم ثمن اكرامية حدادين لسقف الدور الخامس "/>
    <n v="300"/>
    <n v="0"/>
    <m/>
  </r>
  <r>
    <x v="0"/>
    <x v="0"/>
    <s v="مصروفات"/>
    <d v="2025-09-18T00:00:00"/>
    <x v="5"/>
    <x v="7"/>
    <s v="لزوم اكرامية عمال لتنزيل الاسمنت لصب السقف باجمالي 22 طن "/>
    <n v="200"/>
    <n v="0"/>
    <m/>
  </r>
  <r>
    <x v="0"/>
    <x v="0"/>
    <s v="مصروفات"/>
    <d v="2025-09-18T00:00:00"/>
    <x v="5"/>
    <x v="7"/>
    <s v="فونطاس مياة لزوم صب سقف الدور الخامس "/>
    <n v="1100"/>
    <n v="0"/>
    <m/>
  </r>
  <r>
    <x v="0"/>
    <x v="0"/>
    <s v="مصروفات"/>
    <d v="2025-09-18T00:00:00"/>
    <x v="5"/>
    <x v="7"/>
    <s v="اكرامية نجارين سقف الدور الخامس "/>
    <n v="200"/>
    <n v="0"/>
    <m/>
  </r>
  <r>
    <x v="0"/>
    <x v="0"/>
    <s v="مصروفات"/>
    <d v="2025-09-18T00:00:00"/>
    <x v="5"/>
    <x v="43"/>
    <s v="اخر دفعة من مصنعية النجار المسلح لاعمدة و سقف الدور الخامس "/>
    <n v="38900"/>
    <n v="0"/>
    <m/>
  </r>
  <r>
    <x v="0"/>
    <x v="0"/>
    <s v="مصروفات"/>
    <d v="2025-09-18T00:00:00"/>
    <x v="5"/>
    <x v="7"/>
    <s v="لزوم 2 يومية خلاط للاعمدة و سقف الدور الخامس "/>
    <n v="2400"/>
    <n v="0"/>
    <m/>
  </r>
  <r>
    <x v="0"/>
    <x v="0"/>
    <s v="مصروفات"/>
    <d v="2025-09-18T00:00:00"/>
    <x v="5"/>
    <x v="7"/>
    <s v="لزوم يومية 2 هزاز للاعمدة وسقف الخامس "/>
    <n v="1000"/>
    <n v="0"/>
    <m/>
  </r>
  <r>
    <x v="0"/>
    <x v="0"/>
    <s v="مصروفات"/>
    <d v="2025-09-18T00:00:00"/>
    <x v="5"/>
    <x v="7"/>
    <s v="يومية عامل لوضع بسكوت اسفل الحديد "/>
    <n v="350"/>
    <n v="0"/>
    <m/>
  </r>
  <r>
    <x v="0"/>
    <x v="0"/>
    <s v="مصروفات"/>
    <d v="2025-09-18T00:00:00"/>
    <x v="5"/>
    <x v="7"/>
    <s v="لزوم ثمن 4 شكاير بسكوت لرفع الحديد "/>
    <n v="300"/>
    <n v="0"/>
    <m/>
  </r>
  <r>
    <x v="0"/>
    <x v="0"/>
    <s v="مصروفات"/>
    <d v="2025-09-18T00:00:00"/>
    <x v="5"/>
    <x v="7"/>
    <s v="لزوم اكرامية خلاط لصب الاعمدة"/>
    <n v="300"/>
    <n v="0"/>
    <m/>
  </r>
  <r>
    <x v="0"/>
    <x v="0"/>
    <s v="مصروفات"/>
    <d v="2025-09-18T00:00:00"/>
    <x v="5"/>
    <x v="7"/>
    <s v="لزوم اكرامية خلاط لصب السقف "/>
    <n v="500"/>
    <n v="0"/>
    <m/>
  </r>
  <r>
    <x v="0"/>
    <x v="0"/>
    <s v="مصروفات"/>
    <d v="2025-09-18T00:00:00"/>
    <x v="5"/>
    <x v="16"/>
    <s v="لزوم ثمن فاتورة حديدالمصريين سعر الطن 36800 باجمالي 2283 كيلو جرام لاعمدة الدور الخامس بالنقل "/>
    <n v="84450"/>
    <n v="0"/>
    <m/>
  </r>
  <r>
    <x v="0"/>
    <x v="0"/>
    <s v="مصروفات"/>
    <d v="2025-09-18T00:00:00"/>
    <x v="5"/>
    <x v="16"/>
    <s v="لزوم ثمن فاتورة حديد المصريين سعر الطن 37800باجمالي 5844 كيلو جرام لسقف  الدور الخامس بالنقل"/>
    <n v="221500"/>
    <n v="0"/>
    <m/>
  </r>
  <r>
    <x v="0"/>
    <x v="0"/>
    <s v="مصروفات"/>
    <d v="2025-09-18T00:00:00"/>
    <x v="5"/>
    <x v="7"/>
    <s v="لزوم ثمن فاتورة 22 طن  اسمنت تيتان سعر الطن 3750 لصب سقف الدور الخامس بالنقل"/>
    <n v="82550"/>
    <n v="0"/>
    <m/>
  </r>
  <r>
    <x v="0"/>
    <x v="0"/>
    <s v="مصروفات"/>
    <d v="2025-09-18T00:00:00"/>
    <x v="5"/>
    <x v="7"/>
    <s v="لزوم ثمن جرار سن 58 متر لصب سقف الدور الخامس "/>
    <n v="18550"/>
    <n v="0"/>
    <m/>
  </r>
  <r>
    <x v="0"/>
    <x v="0"/>
    <s v="مصروفات"/>
    <d v="2025-09-18T00:00:00"/>
    <x v="5"/>
    <x v="7"/>
    <s v="لزوم ثمن جرار رمل  58 متر لصب سقف الدور الخامس "/>
    <n v="12200"/>
    <n v="0"/>
    <m/>
  </r>
  <r>
    <x v="0"/>
    <x v="0"/>
    <s v="مصروفات"/>
    <d v="2025-09-18T00:00:00"/>
    <x v="5"/>
    <x v="7"/>
    <s v="لزوم ايجار لودر لمدة ساعة لرفع التشوينات"/>
    <n v="450"/>
    <n v="0"/>
    <m/>
  </r>
  <r>
    <x v="0"/>
    <x v="0"/>
    <s v="مصروفات"/>
    <d v="2025-10-22T00:00:00"/>
    <x v="5"/>
    <x v="7"/>
    <s v="واصل اول دفعة من مصنعية نجار المسلح لزوم غرف السطح "/>
    <n v="5000"/>
    <n v="0"/>
    <m/>
  </r>
  <r>
    <x v="0"/>
    <x v="0"/>
    <s v="مصروفات"/>
    <d v="2025-10-22T00:00:00"/>
    <x v="5"/>
    <x v="7"/>
    <s v="لزوم 2 يومية لنقل الاسمنت + يومية ل "/>
    <n v="700"/>
    <n v="0"/>
    <m/>
  </r>
  <r>
    <x v="0"/>
    <x v="0"/>
    <s v="مصروفات"/>
    <d v="2025-11-05T00:00:00"/>
    <x v="5"/>
    <x v="7"/>
    <s v="لزوم يومية 3 عامل لتسوية قاع الحفر و حفر الغرفة الزيادة في حمام السباحة "/>
    <n v="1050"/>
    <n v="0"/>
    <m/>
  </r>
  <r>
    <x v="0"/>
    <x v="0"/>
    <s v="مصروفات"/>
    <d v="2025-11-05T00:00:00"/>
    <x v="5"/>
    <x v="7"/>
    <s v="لزوم ثمن قفل مخزن للمحلات "/>
    <n v="200"/>
    <n v="0"/>
    <m/>
  </r>
  <r>
    <x v="0"/>
    <x v="0"/>
    <s v="مصروفات"/>
    <d v="2025-11-05T00:00:00"/>
    <x v="5"/>
    <x v="7"/>
    <s v="لزوم ثمن مشمع لتغطية الاسمنت "/>
    <n v="100"/>
    <n v="0"/>
    <m/>
  </r>
  <r>
    <x v="0"/>
    <x v="0"/>
    <s v="مصروفات"/>
    <d v="2025-11-05T00:00:00"/>
    <x v="5"/>
    <x v="7"/>
    <s v="واصل من مصنعية صب غرف السطح و ارضية حمام السباحة (الخرسانة العادية)"/>
    <n v="30000"/>
    <n v="0"/>
    <m/>
  </r>
  <r>
    <x v="0"/>
    <x v="0"/>
    <s v="مصروفات"/>
    <d v="2025-11-05T00:00:00"/>
    <x v="5"/>
    <x v="7"/>
    <s v="لزوم ثمن سلك رباط لزوم حدادة غرف السطح "/>
    <n v="450"/>
    <n v="0"/>
    <m/>
  </r>
  <r>
    <x v="0"/>
    <x v="0"/>
    <s v="مصروفات"/>
    <d v="2025-11-05T00:00:00"/>
    <x v="5"/>
    <x v="7"/>
    <s v="لزوم ثمن 2 عربية رملة لزوم صب غرف السطح و ارضية الحمام "/>
    <n v="5200"/>
    <n v="0"/>
    <m/>
  </r>
  <r>
    <x v="0"/>
    <x v="0"/>
    <s v="مصروفات"/>
    <d v="2025-11-05T00:00:00"/>
    <x v="5"/>
    <x v="7"/>
    <s v="لزوم ثمن ايجار لودر ساعة لرفع ناتج الحفر لزوم صب حمام السباحة "/>
    <n v="500"/>
    <n v="0"/>
    <m/>
  </r>
  <r>
    <x v="0"/>
    <x v="0"/>
    <s v="مصروفات"/>
    <d v="2025-11-05T00:00:00"/>
    <x v="5"/>
    <x v="7"/>
    <s v="لزوم ثمن 100 سيخ حديد 4 لينه +150 كيلو حديد كانات لغرف السطح "/>
    <n v="44200"/>
    <n v="0"/>
    <m/>
  </r>
  <r>
    <x v="0"/>
    <x v="0"/>
    <s v="مصروفات"/>
    <d v="2025-11-05T00:00:00"/>
    <x v="5"/>
    <x v="7"/>
    <s v="لزوم ثمن 4.5 طن اسمنت لزوم تكملة صب غرف السطح "/>
    <n v="16875"/>
    <n v="0"/>
    <m/>
  </r>
  <r>
    <x v="0"/>
    <x v="0"/>
    <s v="مصروفات"/>
    <d v="2025-11-05T00:00:00"/>
    <x v="5"/>
    <x v="7"/>
    <s v="لزوم ثمن فاتورة برميل صغير عزل 4700+13 لفة عزل 4 مم8255"/>
    <n v="12955"/>
    <n v="0"/>
    <m/>
  </r>
  <r>
    <x v="0"/>
    <x v="0"/>
    <s v="مصروفات"/>
    <d v="2025-11-05T00:00:00"/>
    <x v="5"/>
    <x v="7"/>
    <s v="لزوم مصنعية مباني حمام السباحة "/>
    <n v="4400"/>
    <n v="0"/>
    <m/>
  </r>
  <r>
    <x v="0"/>
    <x v="0"/>
    <s v="مصروفات"/>
    <d v="2025-11-05T00:00:00"/>
    <x v="5"/>
    <x v="7"/>
    <s v="لزوم ثمن 6 الف طوبة اسمنتي لمباني حمام السباحة "/>
    <n v="17400"/>
    <n v="0"/>
    <m/>
  </r>
  <r>
    <x v="0"/>
    <x v="0"/>
    <s v="مصروفات"/>
    <d v="2025-11-05T00:00:00"/>
    <x v="5"/>
    <x v="7"/>
    <s v="لزوم  مصنعية عزل حمام السباحة "/>
    <n v="3300"/>
    <n v="0"/>
    <m/>
  </r>
  <r>
    <x v="0"/>
    <x v="0"/>
    <s v="مصروفات"/>
    <d v="2025-11-05T00:00:00"/>
    <x v="5"/>
    <x v="7"/>
    <s v="لزوم ثمن عربية رمل ل اعمال المباني حمام السباحة وصب الخرسانة المسلحة "/>
    <n v="4200"/>
    <n v="0"/>
    <m/>
  </r>
  <r>
    <x v="0"/>
    <x v="0"/>
    <s v="مصروفات"/>
    <d v="2025-11-05T00:00:00"/>
    <x v="5"/>
    <x v="7"/>
    <s v="لزوم نقل طلبات العزل للفيلا "/>
    <n v="100"/>
    <n v="0"/>
    <m/>
  </r>
  <r>
    <x v="0"/>
    <x v="0"/>
    <s v="مصروفات"/>
    <d v="2025-11-12T00:00:00"/>
    <x v="5"/>
    <x v="7"/>
    <s v="لزوم تقفيل حساب صب غرف السطح و ارضية حمام السباحة (الخرسانة العادية)"/>
    <n v="8000"/>
    <n v="0"/>
    <m/>
  </r>
  <r>
    <x v="0"/>
    <x v="0"/>
    <s v="مصروفات"/>
    <d v="2025-11-12T00:00:00"/>
    <x v="5"/>
    <x v="7"/>
    <s v="لزوم ثمن فاتورة حديد المصرين  لحمام 150سيخ 12 مم+60 سيخ 10مم لحمام السباحة "/>
    <n v="76100"/>
    <n v="0"/>
    <m/>
  </r>
  <r>
    <x v="0"/>
    <x v="0"/>
    <s v="مصروفات"/>
    <d v="2025-11-12T00:00:00"/>
    <x v="5"/>
    <x v="7"/>
    <s v="لزوم ثمن سلك رباط لحدادة حمام السباحة "/>
    <n v="300"/>
    <n v="0"/>
    <m/>
  </r>
  <r>
    <x v="0"/>
    <x v="0"/>
    <s v="مصروفات"/>
    <d v="2025-11-20T00:00:00"/>
    <x v="5"/>
    <x v="7"/>
    <s v="لزوم ثمن لفة water stop لزوم لبشة حمام السباحة "/>
    <n v="2650"/>
    <n v="0"/>
    <m/>
  </r>
  <r>
    <x v="0"/>
    <x v="0"/>
    <s v="مصروفات"/>
    <d v="2025-11-20T00:00:00"/>
    <x v="5"/>
    <x v="7"/>
    <s v="لزوم لودر لرفع التشوينات لزوم صب لبشة حمام السباحة "/>
    <n v="200"/>
    <n v="0"/>
    <m/>
  </r>
  <r>
    <x v="0"/>
    <x v="0"/>
    <s v="مصروفات"/>
    <d v="2025-11-20T00:00:00"/>
    <x v="5"/>
    <x v="7"/>
    <s v="اكرامية خلاط صبة لبشة حمام السباحة "/>
    <n v="300"/>
    <n v="0"/>
    <m/>
  </r>
  <r>
    <x v="0"/>
    <x v="0"/>
    <s v="مصروفات"/>
    <d v="2025-11-20T00:00:00"/>
    <x v="5"/>
    <x v="7"/>
    <s v="لزوم ثمن 2 نقلة سن لزوم صب لبشة السباحة "/>
    <n v="4000"/>
    <n v="0"/>
    <m/>
  </r>
  <r>
    <x v="0"/>
    <x v="0"/>
    <s v="مصروفات"/>
    <d v="2025-11-20T00:00:00"/>
    <x v="5"/>
    <x v="16"/>
    <s v="لزوم ثمن 2 طن*3850 اسمنت لمباني غرف السطح و 3.5 طن *3950اسمنت مقاوم لصب لبشة حمام السباحة"/>
    <n v="21500"/>
    <n v="0"/>
    <m/>
  </r>
  <r>
    <x v="0"/>
    <x v="0"/>
    <s v="مصروفات"/>
    <d v="2025-11-20T00:00:00"/>
    <x v="5"/>
    <x v="16"/>
    <s v="لزوم طلبية حديد ثانية حديد المصرين 15 سيخ 12 مم +26 سيخ 10مم لتسليح حمام السباحة بالنقل"/>
    <n v="13250"/>
    <n v="0"/>
    <m/>
  </r>
  <r>
    <x v="0"/>
    <x v="0"/>
    <s v="مصروفات"/>
    <d v="2025-11-20T00:00:00"/>
    <x v="5"/>
    <x v="7"/>
    <s v="واصل من  مصنعية نجارة وحدادة لبشة و حوائط حمام سباحة "/>
    <n v="15000"/>
    <n v="0"/>
    <m/>
  </r>
  <r>
    <x v="0"/>
    <x v="0"/>
    <s v="مصروفات"/>
    <d v="2025-11-27T00:00:00"/>
    <x v="5"/>
    <x v="7"/>
    <s v="لزوم ثمن 2 نقلة سن لصب حوائط الحمام "/>
    <n v="4000"/>
    <n v="0"/>
    <m/>
  </r>
  <r>
    <x v="0"/>
    <x v="0"/>
    <s v="مصروفات"/>
    <d v="2025-11-27T00:00:00"/>
    <x v="5"/>
    <x v="7"/>
    <s v="واصل من مصنعية نجارة وحدادة وصب حمام السباحة "/>
    <n v="10000"/>
    <n v="0"/>
    <m/>
  </r>
  <r>
    <x v="0"/>
    <x v="0"/>
    <s v="مصروفات"/>
    <d v="2025-11-27T00:00:00"/>
    <x v="5"/>
    <x v="7"/>
    <s v="لزوم ثمن فاتورة 5.5 طن اسمنت مقاوم*3950 لصب حوائط حمام السباحة"/>
    <n v="21700"/>
    <n v="0"/>
    <m/>
  </r>
  <r>
    <x v="0"/>
    <x v="0"/>
    <s v="مصروفات"/>
    <d v="2025-11-27T00:00:00"/>
    <x v="5"/>
    <x v="7"/>
    <s v="لزوم اكرامية نجارين "/>
    <n v="200"/>
    <n v="0"/>
    <m/>
  </r>
  <r>
    <x v="0"/>
    <x v="0"/>
    <s v="مصروفات"/>
    <d v="2025-11-27T00:00:00"/>
    <x v="5"/>
    <x v="7"/>
    <s v="لزوم اكرامية تنزيل الاسمنت 50 + اكرامية عمال الخلاط 200"/>
    <n v="250"/>
    <n v="0"/>
    <m/>
  </r>
  <r>
    <x v="0"/>
    <x v="0"/>
    <s v="مصروفات"/>
    <d v="2025-11-27T00:00:00"/>
    <x v="5"/>
    <x v="7"/>
    <s v="لزوم ثمن لودر لتقريب تشوينات الصب "/>
    <n v="300"/>
    <n v="0"/>
    <m/>
  </r>
  <r>
    <x v="0"/>
    <x v="0"/>
    <s v="مصروفات"/>
    <d v="2025-12-12T00:00:00"/>
    <x v="5"/>
    <x v="7"/>
    <s v="لزوم تقفيل حساب صب ونجارة وحدادة  حمام السباحة مع النجار "/>
    <n v="14000"/>
    <n v="0"/>
    <m/>
  </r>
  <r>
    <x v="0"/>
    <x v="0"/>
    <s v="مصروفات"/>
    <d v="2025-12-12T00:00:00"/>
    <x v="5"/>
    <x v="7"/>
    <s v="لزوم ثمن ايجار 2 يومية هزاز لزوم صب اللبشة وحوائط حمام السباحة "/>
    <n v="1000"/>
    <n v="0"/>
    <m/>
  </r>
  <r>
    <x v="0"/>
    <x v="0"/>
    <s v="مصروفات"/>
    <d v="2025-12-12T00:00:00"/>
    <x v="5"/>
    <x v="7"/>
    <s v="لزوم اكرامية صب سقف غرف حمام السباحة "/>
    <n v="200"/>
    <n v="0"/>
    <m/>
  </r>
  <r>
    <x v="0"/>
    <x v="0"/>
    <s v="مصروفات"/>
    <d v="2025-12-12T00:00:00"/>
    <x v="5"/>
    <x v="7"/>
    <s v="لزوم يومية 4 عمال لزوم الردم وتقطيع زراجين حمام السباحة "/>
    <n v="1400"/>
    <n v="0"/>
    <m/>
  </r>
  <r>
    <x v="0"/>
    <x v="0"/>
    <s v="مصروفات"/>
    <d v="2025-12-12T00:00:00"/>
    <x v="5"/>
    <x v="7"/>
    <s v="لزوم يومية عامل لصب اسفل المجرى احمام السباحة تمهيدا للعزل "/>
    <n v="400"/>
    <n v="0"/>
    <m/>
  </r>
  <r>
    <x v="0"/>
    <x v="0"/>
    <s v="مصروفات"/>
    <d v="2025-12-12T00:00:00"/>
    <x v="5"/>
    <x v="7"/>
    <s v="لزوم مصنعية مباني باكية السور وقواطع قصية الردم لزوم الردم "/>
    <n v="1000"/>
    <n v="0"/>
    <m/>
  </r>
  <r>
    <x v="0"/>
    <x v="0"/>
    <s v="مصروفات"/>
    <d v="2025-12-12T00:00:00"/>
    <x v="5"/>
    <x v="7"/>
    <s v="لزوم ايجار لودر صغير لزوم الردم حول حمام السباحة والجنينة الخلفية "/>
    <n v="1300"/>
    <n v="0"/>
    <m/>
  </r>
  <r>
    <x v="0"/>
    <x v="0"/>
    <s v="مصروفات"/>
    <d v="2025-12-12T00:00:00"/>
    <x v="5"/>
    <x v="7"/>
    <s v="لزوم اكرامية سواق اللودر وعامل يوم الردم "/>
    <n v="150"/>
    <n v="0"/>
    <m/>
  </r>
  <r>
    <x v="0"/>
    <x v="0"/>
    <s v="اشراف"/>
    <d v="2025-12-12T00:00:00"/>
    <x v="6"/>
    <x v="44"/>
    <s v="نسبة الاشراف 7%"/>
    <n v="115138.1"/>
    <n v="0"/>
    <m/>
  </r>
  <r>
    <x v="1"/>
    <x v="0"/>
    <s v="ايرادات"/>
    <d v="2025-12-01T00:00:00"/>
    <x v="0"/>
    <x v="0"/>
    <s v="لزوم ثمن اعمال الترخيص "/>
    <n v="0"/>
    <n v="5000"/>
    <m/>
  </r>
  <r>
    <x v="1"/>
    <x v="0"/>
    <s v="ايرادات"/>
    <d v="2025-12-02T00:00:00"/>
    <x v="0"/>
    <x v="0"/>
    <s v="لزوم ثمن مصروفات الرخصة "/>
    <n v="0"/>
    <n v="50000"/>
    <m/>
  </r>
  <r>
    <x v="1"/>
    <x v="0"/>
    <s v="ايرادات"/>
    <d v="2026-01-07T00:00:00"/>
    <x v="0"/>
    <x v="0"/>
    <s v="بيد أ احمد الجندي "/>
    <n v="0"/>
    <n v="250000"/>
    <m/>
  </r>
  <r>
    <x v="1"/>
    <x v="0"/>
    <s v="ايرادات"/>
    <d v="2026-03-26T00:00:00"/>
    <x v="0"/>
    <x v="0"/>
    <s v="تحويل من جمال الجندي "/>
    <n v="0"/>
    <n v="200000"/>
    <m/>
  </r>
  <r>
    <x v="1"/>
    <x v="0"/>
    <s v="ايرادات"/>
    <d v="2026-04-27T00:00:00"/>
    <x v="0"/>
    <x v="0"/>
    <s v="بيد أ احمد الجندي "/>
    <n v="0"/>
    <n v="100000"/>
    <m/>
  </r>
  <r>
    <x v="1"/>
    <x v="0"/>
    <s v="مصروفات"/>
    <d v="2025-12-01T00:00:00"/>
    <x v="1"/>
    <x v="1"/>
    <s v="لزوم ثمن تصميم المبنى +تصميم غرف السطح 75% "/>
    <n v="0"/>
    <n v="0"/>
    <m/>
  </r>
  <r>
    <x v="1"/>
    <x v="0"/>
    <s v="مصروفات"/>
    <d v="2025-12-01T00:00:00"/>
    <x v="2"/>
    <x v="2"/>
    <s v="لزوم ثمن اعمال الترخيص "/>
    <n v="5000"/>
    <n v="0"/>
    <m/>
  </r>
  <r>
    <x v="1"/>
    <x v="0"/>
    <s v="مصروفات"/>
    <d v="2025-12-02T00:00:00"/>
    <x v="2"/>
    <x v="2"/>
    <s v="لزوم ثمن مصروفات الرخصة "/>
    <n v="50000"/>
    <n v="0"/>
    <m/>
  </r>
  <r>
    <x v="1"/>
    <x v="0"/>
    <s v="مصروفات"/>
    <d v="2026-01-07T00:00:00"/>
    <x v="3"/>
    <x v="13"/>
    <s v="لزوم مصنعية تكسير وتمديد ماسورة للكهرباء "/>
    <n v="1750"/>
    <n v="0"/>
    <m/>
  </r>
  <r>
    <x v="1"/>
    <x v="0"/>
    <s v="مصروفات"/>
    <d v="2026-01-07T00:00:00"/>
    <x v="3"/>
    <x v="14"/>
    <s v="لزوم فاتورة 20 متر مواسير وجلبة لحام لزوم تمديد ماسورة كهرباء "/>
    <n v="1375"/>
    <n v="0"/>
    <m/>
  </r>
  <r>
    <x v="1"/>
    <x v="0"/>
    <s v="مصروفات"/>
    <d v="2026-01-12T00:00:00"/>
    <x v="3"/>
    <x v="6"/>
    <s v="لزوم ثمن اول دفعة من اعمال  upvc"/>
    <n v="10000"/>
    <n v="0"/>
    <m/>
  </r>
  <r>
    <x v="1"/>
    <x v="0"/>
    <s v="مصروفات"/>
    <d v="2026-01-30T00:00:00"/>
    <x v="3"/>
    <x v="3"/>
    <s v="لزوم ثمن يومية عامل صاروخ + ايجار صاروخ لزوم تكسير حائط البار + حائط باب بلكونة الريسبشن "/>
    <n v="650"/>
    <n v="0"/>
    <m/>
  </r>
  <r>
    <x v="1"/>
    <x v="0"/>
    <s v="مصروفات"/>
    <d v="2026-01-30T00:00:00"/>
    <x v="3"/>
    <x v="18"/>
    <s v="لزوم ثمن يومية عامل لتنزيل نتائج الهدم "/>
    <n v="350"/>
    <n v="0"/>
    <m/>
  </r>
  <r>
    <x v="1"/>
    <x v="0"/>
    <s v="مصروفات"/>
    <d v="2026-02-02T00:00:00"/>
    <x v="3"/>
    <x v="4"/>
    <s v="لزوم ثمن اكرامية امداد كبل الكهرباء للفيلا "/>
    <n v="1000"/>
    <n v="0"/>
    <m/>
  </r>
  <r>
    <x v="1"/>
    <x v="0"/>
    <s v="مصروفات"/>
    <d v="2026-02-21T00:00:00"/>
    <x v="3"/>
    <x v="9"/>
    <s v=" لزوم ثمن 200 طوبة و 2 شكارة اسمنت بالنقل والتشوين لبناء كتف المباني بجوار البلكونة + سد فتحات شبابيك غرف النوم "/>
    <n v="1100"/>
    <n v="0"/>
    <m/>
  </r>
  <r>
    <x v="1"/>
    <x v="0"/>
    <s v="مصروفات"/>
    <d v="2026-02-21T00:00:00"/>
    <x v="3"/>
    <x v="3"/>
    <s v="لزوم ثمن 3 يومية عامل *350بالصاروخ 200 لخلع شبابيك الشقة وباب البلكونة بالبار و الحلقان "/>
    <n v="1200"/>
    <n v="0"/>
    <m/>
  </r>
  <r>
    <x v="1"/>
    <x v="0"/>
    <s v="مصروفات"/>
    <d v="2026-02-24T00:00:00"/>
    <x v="3"/>
    <x v="14"/>
    <s v="لزوم ثمن فاتورة كهرباء للجبسون بورد من اولاد فاضل لزوم 2 عود مجناتك و 2 لفة سوستة و شريط لحام "/>
    <n v="1785"/>
    <n v="0"/>
    <m/>
  </r>
  <r>
    <x v="1"/>
    <x v="0"/>
    <s v="مصروفات"/>
    <d v="2026-02-28T00:00:00"/>
    <x v="3"/>
    <x v="26"/>
    <s v="واصل اول دفعة من اعمال الجبسون بورد"/>
    <n v="5000"/>
    <n v="0"/>
    <m/>
  </r>
  <r>
    <x v="1"/>
    <x v="0"/>
    <s v="مصروفات"/>
    <d v="2026-02-28T00:00:00"/>
    <x v="3"/>
    <x v="13"/>
    <s v="لزوم مصنعية تعديل فتحات كهرباء للدش و تعديل كهرباء الدريسينج و تعديل اماكن كهرباء اماكن الحائط الي اتكسر وتركيب العداد وتقفيل لوحة كهرباء الارضي"/>
    <n v="3000"/>
    <n v="0"/>
    <m/>
  </r>
  <r>
    <x v="1"/>
    <x v="0"/>
    <s v="مصروفات"/>
    <d v="2026-02-28T00:00:00"/>
    <x v="3"/>
    <x v="3"/>
    <s v="لزوم ثمن 3 يومية عامل *350 لتكسير ارش الدوران الفاصل بين الليفنج والرسيبشن وتكسير هاند ريل البلكونه وتكسير طي الجبس و السرر الجبس فى الغرف و الطرق ويومية نظافة "/>
    <n v="1400"/>
    <n v="0"/>
    <m/>
  </r>
  <r>
    <x v="1"/>
    <x v="0"/>
    <s v="مصروفات"/>
    <d v="2026-02-28T00:00:00"/>
    <x v="3"/>
    <x v="17"/>
    <s v=" لزوم ثمن تركيب7 متر خط مواسير نحاس لزوم تأسيس تكيف 3 حصان *900 + لزوم ثمن 4 حوامل كبار *450 + حامل صغير 400 + تركيب الحوامل 300+ لزوم تركيب خط شفاط للمطبخ 2500"/>
    <n v="11300"/>
    <n v="0"/>
    <m/>
  </r>
  <r>
    <x v="1"/>
    <x v="0"/>
    <s v="مصروفات"/>
    <d v="2026-02-28T00:00:00"/>
    <x v="3"/>
    <x v="11"/>
    <s v="لزوم ثمن 2 شكارة اسمنت + شكارة جبس لزوم مرمات المحارة "/>
    <n v="500"/>
    <n v="0"/>
    <m/>
  </r>
  <r>
    <x v="1"/>
    <x v="0"/>
    <s v="مصروفات"/>
    <d v="2026-02-28T00:00:00"/>
    <x v="3"/>
    <x v="12"/>
    <s v="لزوم مصنعية محارة  4 صناعية لزوم تامين ابواب البلكونات والشبابيك وكتف المباني ومرمات الكهرباء*700"/>
    <n v="2800"/>
    <n v="0"/>
    <m/>
  </r>
  <r>
    <x v="1"/>
    <x v="0"/>
    <s v="مصروفات"/>
    <d v="2026-02-28T00:00:00"/>
    <x v="3"/>
    <x v="16"/>
    <s v="لزوم ثمن هاندريل حديد لزوم البلكونة علب 3*4 56 كيلو *55 ج"/>
    <n v="3000"/>
    <n v="0"/>
    <m/>
  </r>
  <r>
    <x v="1"/>
    <x v="0"/>
    <s v="مصروفات"/>
    <d v="2026-02-28T00:00:00"/>
    <x v="3"/>
    <x v="7"/>
    <s v="لزوم يومية البنا لتقفيل الشباكين وبناء كتف المباني لحائط الالوميتال"/>
    <n v="750"/>
    <n v="0"/>
    <m/>
  </r>
  <r>
    <x v="1"/>
    <x v="0"/>
    <s v="مصروفات"/>
    <d v="2026-03-07T00:00:00"/>
    <x v="3"/>
    <x v="3"/>
    <s v="لزوم ثمن فتحة الكور لشفاط المطبخ "/>
    <n v="300"/>
    <n v="0"/>
    <m/>
  </r>
  <r>
    <x v="1"/>
    <x v="0"/>
    <s v="مصروفات"/>
    <d v="2026-03-07T00:00:00"/>
    <x v="3"/>
    <x v="21"/>
    <s v="لزوم ثمن 3 يوميات عامل *350 لتكسير باقي طي الجبس للشقة كاملة + تنظيف الشقة وتنظيف تكسير كهربائي"/>
    <n v="1050"/>
    <n v="0"/>
    <m/>
  </r>
  <r>
    <x v="1"/>
    <x v="0"/>
    <s v="مصروفات"/>
    <d v="2026-03-07T00:00:00"/>
    <x v="3"/>
    <x v="13"/>
    <s v="لزوم مصنعية كهربائي لزوم تأسيس تكيفات باقي ال3 شقق"/>
    <n v="2000"/>
    <n v="0"/>
    <m/>
  </r>
  <r>
    <x v="1"/>
    <x v="0"/>
    <s v="مصروفات"/>
    <d v="2026-03-07T00:00:00"/>
    <x v="3"/>
    <x v="45"/>
    <s v="لزوم فاتورة كهرباء لسحب السلك في الاسبوتات 2 لفة سلك 1.5 مم + لفة سلك 2مم من اولاد فاضل "/>
    <n v="250"/>
    <n v="0"/>
    <m/>
  </r>
  <r>
    <x v="1"/>
    <x v="0"/>
    <s v="مصروفات"/>
    <d v="2026-03-07T00:00:00"/>
    <x v="3"/>
    <x v="11"/>
    <s v="لزوم ثمن 3 شكاير اسمنت 190 *3"/>
    <n v="570"/>
    <n v="0"/>
    <m/>
  </r>
  <r>
    <x v="1"/>
    <x v="0"/>
    <s v="مصروفات"/>
    <d v="2026-03-07T00:00:00"/>
    <x v="3"/>
    <x v="14"/>
    <s v="لزوم فاتورة كهرباء لزوم سوستة 15 مم وعلبة ماجيك مفرد بكلبس "/>
    <n v="4769"/>
    <n v="0"/>
    <m/>
  </r>
  <r>
    <x v="1"/>
    <x v="0"/>
    <s v="مصروفات"/>
    <d v="2026-03-10T00:00:00"/>
    <x v="3"/>
    <x v="31"/>
    <s v="لزوم ثمن فاتورة صحي من محجوب "/>
    <n v="66655"/>
    <n v="0"/>
    <m/>
  </r>
  <r>
    <x v="1"/>
    <x v="0"/>
    <s v="مصروفات"/>
    <d v="2026-03-10T00:00:00"/>
    <x v="3"/>
    <x v="6"/>
    <s v="لزوم ثمن ثاني دفعة من اعمال  upvc"/>
    <n v="20000"/>
    <n v="0"/>
    <m/>
  </r>
  <r>
    <x v="1"/>
    <x v="0"/>
    <s v="مصروفات"/>
    <d v="2026-03-10T00:00:00"/>
    <x v="3"/>
    <x v="39"/>
    <s v="لزوم ثمن فاتورة 100 عود فيو تك "/>
    <n v="5000"/>
    <n v="0"/>
    <m/>
  </r>
  <r>
    <x v="1"/>
    <x v="0"/>
    <s v="مصروفات"/>
    <d v="2026-03-10T00:00:00"/>
    <x v="3"/>
    <x v="39"/>
    <s v="لزوم ثمن فاتورة دهانات "/>
    <n v="10965"/>
    <n v="0"/>
    <m/>
  </r>
  <r>
    <x v="1"/>
    <x v="0"/>
    <s v="مصروفات"/>
    <d v="2026-03-23T00:00:00"/>
    <x v="3"/>
    <x v="26"/>
    <s v="لزوم ثمن ثاني دفعة من اعمال الجبسون بورد"/>
    <n v="10000"/>
    <n v="0"/>
    <m/>
  </r>
  <r>
    <x v="1"/>
    <x v="0"/>
    <s v="مصروفات"/>
    <d v="2026-03-24T00:00:00"/>
    <x v="3"/>
    <x v="6"/>
    <s v="لزوم ثمن ثاني دفعة من اعمال  upvc"/>
    <n v="30000"/>
    <n v="0"/>
    <m/>
  </r>
  <r>
    <x v="1"/>
    <x v="0"/>
    <s v="مصروفات"/>
    <d v="2026-03-24T00:00:00"/>
    <x v="3"/>
    <x v="21"/>
    <s v="لزوم ثمن يومية عامل محارة لزوم تركيب عتب بابا البلكونة وتأميم "/>
    <n v="750"/>
    <n v="0"/>
    <m/>
  </r>
  <r>
    <x v="1"/>
    <x v="0"/>
    <s v="مصروفات"/>
    <d v="2026-03-24T00:00:00"/>
    <x v="3"/>
    <x v="21"/>
    <s v="لزوم ثمن 2 يومية عامل لتنظيف الشقق قبل النقاشة "/>
    <n v="750"/>
    <n v="0"/>
    <m/>
  </r>
  <r>
    <x v="1"/>
    <x v="0"/>
    <s v="مصروفات"/>
    <d v="2026-03-24T00:00:00"/>
    <x v="3"/>
    <x v="46"/>
    <s v="لزوم اول دفعة من مصنعية النقاش"/>
    <n v="3500"/>
    <n v="0"/>
    <m/>
  </r>
  <r>
    <x v="1"/>
    <x v="0"/>
    <s v="مصروفات"/>
    <d v="2026-03-24T00:00:00"/>
    <x v="3"/>
    <x v="39"/>
    <s v="لزوم ثمن فاتورة نقاشة "/>
    <n v="5745"/>
    <n v="0"/>
    <m/>
  </r>
  <r>
    <x v="1"/>
    <x v="0"/>
    <s v="مصروفات"/>
    <d v="2026-03-24T00:00:00"/>
    <x v="3"/>
    <x v="26"/>
    <s v="لزوم تقفيل مصنعية الجبسون بورد"/>
    <n v="3000"/>
    <n v="0"/>
    <m/>
  </r>
  <r>
    <x v="1"/>
    <x v="0"/>
    <s v="مصروفات"/>
    <d v="2026-03-26T00:00:00"/>
    <x v="3"/>
    <x v="5"/>
    <s v="لزوم ثمن فاتورة جونيات لتبديل جوينات قواعد الصرف"/>
    <n v="1775"/>
    <n v="0"/>
    <m/>
  </r>
  <r>
    <x v="1"/>
    <x v="0"/>
    <s v="مصروفات"/>
    <d v="2026-03-26T00:00:00"/>
    <x v="3"/>
    <x v="8"/>
    <s v="لزوم مصنعية للسباك"/>
    <n v="1500"/>
    <n v="0"/>
    <m/>
  </r>
  <r>
    <x v="1"/>
    <x v="0"/>
    <s v="مصروفات"/>
    <d v="2026-03-29T00:00:00"/>
    <x v="3"/>
    <x v="46"/>
    <s v=" لزوم ثمن فواتير نقاشة من اركيم"/>
    <n v="4655"/>
    <n v="0"/>
    <m/>
  </r>
  <r>
    <x v="1"/>
    <x v="0"/>
    <s v="مصروفات"/>
    <d v="2026-03-29T00:00:00"/>
    <x v="3"/>
    <x v="38"/>
    <s v="لزوم نقل دهانات بالتوكتوك "/>
    <n v="150"/>
    <n v="0"/>
    <m/>
  </r>
  <r>
    <x v="1"/>
    <x v="0"/>
    <s v="مصروفات"/>
    <d v="2026-03-30T00:00:00"/>
    <x v="3"/>
    <x v="14"/>
    <s v="لزوم ثمن فاتورة كهرباء من اولاد فاضل "/>
    <n v="1850"/>
    <n v="0"/>
    <m/>
  </r>
  <r>
    <x v="1"/>
    <x v="0"/>
    <s v="مصروفات"/>
    <d v="2026-03-31T00:00:00"/>
    <x v="3"/>
    <x v="14"/>
    <s v="لزوم ثمن فاتورة كهرباء من اولاد فاضل "/>
    <n v="800"/>
    <n v="0"/>
    <m/>
  </r>
  <r>
    <x v="1"/>
    <x v="0"/>
    <s v="مصروفات"/>
    <d v="2026-03-31T00:00:00"/>
    <x v="3"/>
    <x v="38"/>
    <s v="لزوم نقل دهانات بالتوكتوك "/>
    <n v="150"/>
    <n v="0"/>
    <m/>
  </r>
  <r>
    <x v="1"/>
    <x v="0"/>
    <s v="مصروفات"/>
    <d v="2026-04-04T00:00:00"/>
    <x v="3"/>
    <x v="39"/>
    <s v=" لزوم ثمن فواتير نقاشة من اركيم"/>
    <n v="3160"/>
    <n v="0"/>
    <m/>
  </r>
  <r>
    <x v="1"/>
    <x v="0"/>
    <s v="مصروفات"/>
    <d v="2026-04-04T00:00:00"/>
    <x v="3"/>
    <x v="46"/>
    <s v="لزوم ثاني دفعة من مصنعية النقاش"/>
    <n v="9500"/>
    <n v="0"/>
    <m/>
  </r>
  <r>
    <x v="1"/>
    <x v="0"/>
    <s v="مصروفات"/>
    <d v="2026-04-05T00:00:00"/>
    <x v="3"/>
    <x v="38"/>
    <s v="لزوم ثمن نقل فواتير النقاشة50+50"/>
    <n v="100"/>
    <n v="0"/>
    <m/>
  </r>
  <r>
    <x v="1"/>
    <x v="0"/>
    <s v="مصروفات"/>
    <d v="2026-04-09T00:00:00"/>
    <x v="3"/>
    <x v="46"/>
    <s v="لزوم ثالث دفعة من مصنعية النقاش"/>
    <n v="8000"/>
    <n v="0"/>
    <m/>
  </r>
  <r>
    <x v="1"/>
    <x v="0"/>
    <s v="ايرادات"/>
    <d v="2026-04-09T00:00:00"/>
    <x v="0"/>
    <x v="0"/>
    <s v="لزوم مرتجع فاتورة دهانات من اكيم"/>
    <n v="0"/>
    <n v="2250"/>
    <m/>
  </r>
  <r>
    <x v="1"/>
    <x v="0"/>
    <s v="مصروفات"/>
    <d v="2026-04-09T00:00:00"/>
    <x v="3"/>
    <x v="47"/>
    <s v="لزوم دفعة اولى من مصنعية الاستورجي لزوم دهان الابواب"/>
    <n v="15000"/>
    <n v="0"/>
    <m/>
  </r>
  <r>
    <x v="1"/>
    <x v="0"/>
    <s v="مصروفات"/>
    <d v="2026-04-09T00:00:00"/>
    <x v="3"/>
    <x v="48"/>
    <s v="لزوم ثمن عربية رملة"/>
    <n v="1500"/>
    <n v="0"/>
    <m/>
  </r>
  <r>
    <x v="1"/>
    <x v="0"/>
    <s v="مصروفات"/>
    <d v="2026-04-16T00:00:00"/>
    <x v="3"/>
    <x v="6"/>
    <s v="لزوم ثمن ثاني دفعة من اعمال  upvc"/>
    <n v="10000"/>
    <n v="0"/>
    <m/>
  </r>
  <r>
    <x v="1"/>
    <x v="0"/>
    <s v="مصروفات"/>
    <d v="2026-04-16T00:00:00"/>
    <x v="3"/>
    <x v="33"/>
    <s v="واصل من اعمال الرخام لزوم السلم"/>
    <n v="1600"/>
    <n v="0"/>
    <m/>
  </r>
  <r>
    <x v="1"/>
    <x v="0"/>
    <s v="مصروفات"/>
    <d v="2026-04-16T00:00:00"/>
    <x v="3"/>
    <x v="47"/>
    <s v="لزوم دفعة ثانية من مصنعية الاستورجي لزوم دهان الابواب"/>
    <n v="35000"/>
    <n v="0"/>
    <m/>
  </r>
  <r>
    <x v="1"/>
    <x v="0"/>
    <s v="مصروفات"/>
    <d v="2026-04-16T00:00:00"/>
    <x v="3"/>
    <x v="18"/>
    <s v="لزوم ثمن نقلة مخلفات"/>
    <n v="200"/>
    <n v="0"/>
    <m/>
  </r>
  <r>
    <x v="1"/>
    <x v="0"/>
    <s v="مصروفات"/>
    <d v="2026-04-16T00:00:00"/>
    <x v="3"/>
    <x v="15"/>
    <s v="لزوم ثمن شحن كارت الكهرباء "/>
    <n v="200"/>
    <n v="0"/>
    <m/>
  </r>
  <r>
    <x v="1"/>
    <x v="0"/>
    <s v="مصروفات"/>
    <d v="2026-04-21T00:00:00"/>
    <x v="3"/>
    <x v="31"/>
    <s v="لزوم ثمن فاتورة صحي الثلاث شقق من ابو العوام"/>
    <n v="100000"/>
    <n v="0"/>
    <m/>
  </r>
  <r>
    <x v="1"/>
    <x v="0"/>
    <s v="مصروفات"/>
    <d v="2026-04-27T00:00:00"/>
    <x v="3"/>
    <x v="39"/>
    <s v="لزوم ثمن فاتورة اعواد فيوتك2 سم815 +4سم 1750"/>
    <n v="2565"/>
    <n v="0"/>
    <m/>
  </r>
  <r>
    <x v="1"/>
    <x v="0"/>
    <s v="مصروفات"/>
    <d v="2026-04-27T00:00:00"/>
    <x v="3"/>
    <x v="31"/>
    <s v="لزوم ثمن فاتورة حوض مطبخ بالخلاط والصرف من محمد شعبان"/>
    <n v="7450"/>
    <n v="0"/>
    <m/>
  </r>
  <r>
    <x v="1"/>
    <x v="0"/>
    <s v="مصروفات"/>
    <d v="2026-05-12T00:00:00"/>
    <x v="3"/>
    <x v="6"/>
    <s v="لزوم تقفيل اعمال upvc"/>
    <n v="7000"/>
    <n v="0"/>
    <m/>
  </r>
  <r>
    <x v="1"/>
    <x v="0"/>
    <s v="مصروفات"/>
    <d v="2026-05-18T00:00:00"/>
    <x v="3"/>
    <x v="15"/>
    <s v="لزوم شحن كهرباء"/>
    <n v="200"/>
    <n v="0"/>
    <m/>
  </r>
  <r>
    <x v="1"/>
    <x v="0"/>
    <s v="مصروفات"/>
    <d v="2026-05-23T00:00:00"/>
    <x v="3"/>
    <x v="39"/>
    <s v="لزوم ثمن فاتورة دهانات من اركيم 30 بستلة دانيون و4 بستلة 7070 و 4 سيلير بالنقل "/>
    <n v="12600"/>
    <n v="0"/>
    <m/>
  </r>
  <r>
    <x v="1"/>
    <x v="0"/>
    <s v="مصروفات"/>
    <d v="2026-05-24T00:00:00"/>
    <x v="3"/>
    <x v="46"/>
    <s v="لزوم رابع دفعة من مصنعية النقاش"/>
    <n v="4000"/>
    <n v="0"/>
    <m/>
  </r>
  <r>
    <x v="1"/>
    <x v="0"/>
    <s v="مصروفات"/>
    <d v="2026-05-24T00:00:00"/>
    <x v="3"/>
    <x v="21"/>
    <s v="لزوم يومية لادخال طلبات النقاشة للداخل"/>
    <n v="100"/>
    <n v="0"/>
    <m/>
  </r>
  <r>
    <x v="1"/>
    <x v="0"/>
    <s v="مصروفات"/>
    <d v="2026-05-24T00:00:00"/>
    <x v="3"/>
    <x v="39"/>
    <s v="لزوم ثمن فاتورة من اركيم سيلر مقاوم "/>
    <n v="470"/>
    <n v="0"/>
    <m/>
  </r>
  <r>
    <x v="1"/>
    <x v="0"/>
    <s v="اشراف"/>
    <d v="2026-04-01T00:00:00"/>
    <x v="7"/>
    <x v="49"/>
    <s v="نسبة الاشراف 10%"/>
    <n v="44178.9"/>
    <n v="0"/>
    <m/>
  </r>
  <r>
    <x v="2"/>
    <x v="1"/>
    <s v="ايرادات"/>
    <d v="2026-04-02T00:00:00"/>
    <x v="0"/>
    <x v="0"/>
    <s v="وارد من د ريم "/>
    <n v="0"/>
    <n v="100000"/>
    <m/>
  </r>
  <r>
    <x v="2"/>
    <x v="1"/>
    <s v="ايرادات"/>
    <d v="2026-05-12T00:00:00"/>
    <x v="0"/>
    <x v="0"/>
    <s v="وارد من د ريم "/>
    <n v="0"/>
    <n v="100000"/>
    <m/>
  </r>
  <r>
    <x v="2"/>
    <x v="1"/>
    <s v="مصروفات"/>
    <d v="2026-05-01T00:00:00"/>
    <x v="3"/>
    <x v="13"/>
    <s v="لزوم فك وتركيب و تنظيف التكيفات "/>
    <n v="1200"/>
    <n v="0"/>
    <m/>
  </r>
  <r>
    <x v="2"/>
    <x v="1"/>
    <s v="مصروفات"/>
    <d v="2026-05-06T00:00:00"/>
    <x v="3"/>
    <x v="30"/>
    <s v="لزوم ثمن فاتورة كرتون"/>
    <n v="2112"/>
    <n v="0"/>
    <m/>
  </r>
  <r>
    <x v="2"/>
    <x v="1"/>
    <s v="مصروفات"/>
    <d v="2026-05-06T00:00:00"/>
    <x v="3"/>
    <x v="38"/>
    <s v="لزوم ثمن توكتوك لنقل الكارتون"/>
    <n v="150"/>
    <n v="0"/>
    <m/>
  </r>
  <r>
    <x v="2"/>
    <x v="1"/>
    <s v="مصروفات"/>
    <d v="2026-05-06T00:00:00"/>
    <x v="3"/>
    <x v="13"/>
    <s v="لزوم ثمن مصنعية كهربائي لزوم فك الاسبوتات + مصنعية نقل الإرث + مصنعية فصل كهرباء العداد"/>
    <n v="2000"/>
    <n v="0"/>
    <m/>
  </r>
  <r>
    <x v="2"/>
    <x v="1"/>
    <s v="مصروفات"/>
    <d v="2026-05-06T00:00:00"/>
    <x v="3"/>
    <x v="14"/>
    <s v="لزوم ثمن فاتورة كهرباء لزوم سلك الإرث "/>
    <n v="2075"/>
    <n v="0"/>
    <m/>
  </r>
  <r>
    <x v="2"/>
    <x v="1"/>
    <s v="مصروفات"/>
    <d v="2026-05-06T00:00:00"/>
    <x v="3"/>
    <x v="21"/>
    <s v="لزوم يومية عامل لزوم تكسير 3 حوائط"/>
    <n v="1000"/>
    <n v="0"/>
    <m/>
  </r>
  <r>
    <x v="2"/>
    <x v="1"/>
    <s v="مصروفات"/>
    <d v="2026-05-06T00:00:00"/>
    <x v="3"/>
    <x v="14"/>
    <s v="لزوم ثمن فاتورة 2 لمبة وشريط لحام 2 ودواية"/>
    <n v="800"/>
    <n v="0"/>
    <m/>
  </r>
  <r>
    <x v="2"/>
    <x v="1"/>
    <s v="مصروفات"/>
    <d v="2026-05-06T00:00:00"/>
    <x v="3"/>
    <x v="30"/>
    <s v="لزوم ثمن 2 شوال لتغطية البلكونات"/>
    <n v="500"/>
    <n v="0"/>
    <m/>
  </r>
  <r>
    <x v="2"/>
    <x v="1"/>
    <s v="مصروفات"/>
    <d v="2026-05-09T00:00:00"/>
    <x v="3"/>
    <x v="18"/>
    <s v="لزوم 4 نقلات ركش *650"/>
    <n v="2600"/>
    <n v="0"/>
    <m/>
  </r>
  <r>
    <x v="2"/>
    <x v="1"/>
    <s v="مصروفات"/>
    <d v="2026-05-09T00:00:00"/>
    <x v="3"/>
    <x v="5"/>
    <s v="لزوم ثمن طلبات للسباك "/>
    <n v="100"/>
    <n v="0"/>
    <m/>
  </r>
  <r>
    <x v="2"/>
    <x v="1"/>
    <s v="مصروفات"/>
    <d v="2026-05-09T00:00:00"/>
    <x v="3"/>
    <x v="8"/>
    <s v="لزوم ثمن مصنعية السباك "/>
    <n v="250"/>
    <n v="0"/>
    <m/>
  </r>
  <r>
    <x v="2"/>
    <x v="1"/>
    <s v="مصروفات"/>
    <d v="2026-05-09T00:00:00"/>
    <x v="3"/>
    <x v="4"/>
    <s v="لزوم ثمن اكرامية وغدا للعمال"/>
    <n v="200"/>
    <n v="0"/>
    <m/>
  </r>
  <r>
    <x v="2"/>
    <x v="1"/>
    <s v="مصروفات"/>
    <d v="2026-05-10T00:00:00"/>
    <x v="3"/>
    <x v="18"/>
    <s v="لزوم ثمن إزالة مخلفات تكسير من العيادة"/>
    <n v="700"/>
    <n v="0"/>
    <m/>
  </r>
  <r>
    <x v="2"/>
    <x v="1"/>
    <s v="مصروفات"/>
    <d v="2026-05-12T00:00:00"/>
    <x v="3"/>
    <x v="7"/>
    <s v="لزوم ثمن 2 يومية بنا * 700"/>
    <n v="1200"/>
    <n v="0"/>
    <m/>
  </r>
  <r>
    <x v="2"/>
    <x v="1"/>
    <s v="مصروفات"/>
    <d v="2026-05-12T00:00:00"/>
    <x v="3"/>
    <x v="9"/>
    <s v="لزوم ثمن تشوين طوب ورملة واسمنت بالنقل"/>
    <n v="2800"/>
    <n v="0"/>
    <m/>
  </r>
  <r>
    <x v="2"/>
    <x v="1"/>
    <s v="مصروفات"/>
    <d v="2026-05-12T00:00:00"/>
    <x v="3"/>
    <x v="21"/>
    <s v="لزوم ثمن يومية نحات للحوائط الداخلية"/>
    <n v="750"/>
    <n v="0"/>
    <m/>
  </r>
  <r>
    <x v="2"/>
    <x v="1"/>
    <s v="مصروفات"/>
    <d v="2026-05-12T00:00:00"/>
    <x v="3"/>
    <x v="30"/>
    <s v="لزوم ثمن فاتورة كرتون و تيب من اركيم"/>
    <n v="2112"/>
    <n v="0"/>
    <m/>
  </r>
  <r>
    <x v="2"/>
    <x v="1"/>
    <s v="مصروفات"/>
    <d v="2026-05-15T00:00:00"/>
    <x v="3"/>
    <x v="3"/>
    <s v="لزوم تخريم للحوض وتكسير مكان الحائط في السيراميك"/>
    <n v="300"/>
    <n v="0"/>
    <m/>
  </r>
  <r>
    <x v="2"/>
    <x v="1"/>
    <s v="مصروفات"/>
    <d v="2026-05-15T00:00:00"/>
    <x v="3"/>
    <x v="18"/>
    <s v="لزوم ثمن إزالة مخلفات تكسير من العيادة"/>
    <n v="700"/>
    <n v="0"/>
    <m/>
  </r>
  <r>
    <x v="2"/>
    <x v="1"/>
    <s v="مصروفات"/>
    <d v="2026-05-15T00:00:00"/>
    <x v="3"/>
    <x v="21"/>
    <s v="لزوم ثمن يومية بنا وعامل"/>
    <n v="800"/>
    <n v="0"/>
    <m/>
  </r>
  <r>
    <x v="2"/>
    <x v="1"/>
    <s v="مصروفات"/>
    <d v="2026-05-16T00:00:00"/>
    <x v="3"/>
    <x v="50"/>
    <s v="لزوم ثمن تشوينات رمل وطوب واسمنت"/>
    <n v="6000"/>
    <n v="0"/>
    <m/>
  </r>
  <r>
    <x v="2"/>
    <x v="1"/>
    <s v="مصروفات"/>
    <d v="2026-05-16T00:00:00"/>
    <x v="3"/>
    <x v="50"/>
    <s v="لزوم ثمن يومية عمال لتشوين طوب ورملة واسمنت"/>
    <n v="1200"/>
    <n v="0"/>
    <m/>
  </r>
  <r>
    <x v="2"/>
    <x v="1"/>
    <s v="مصروفات"/>
    <d v="2026-05-16T00:00:00"/>
    <x v="3"/>
    <x v="18"/>
    <s v="لزوم ثمن إزالة مخلفات تكسير من العيادة"/>
    <n v="700"/>
    <n v="0"/>
    <m/>
  </r>
  <r>
    <x v="2"/>
    <x v="1"/>
    <s v="مصروفات"/>
    <d v="2026-05-16T00:00:00"/>
    <x v="3"/>
    <x v="36"/>
    <s v="لزوم اول دفعة من مصنعية الخشب (التجاليد)"/>
    <n v="100000"/>
    <n v="0"/>
    <m/>
  </r>
  <r>
    <x v="2"/>
    <x v="1"/>
    <s v="مصروفات"/>
    <d v="2026-05-18T00:00:00"/>
    <x v="3"/>
    <x v="41"/>
    <s v="لزوم ثمن 3 ك معجون شروخ وشكارة بلانكو بالنقل"/>
    <n v="890"/>
    <n v="0"/>
    <m/>
  </r>
  <r>
    <x v="2"/>
    <x v="1"/>
    <s v="مصروفات"/>
    <d v="2026-05-18T00:00:00"/>
    <x v="3"/>
    <x v="18"/>
    <s v="لزوم ثمن إزالة مخلفات تكسير من العيادة"/>
    <n v="700"/>
    <n v="0"/>
    <m/>
  </r>
  <r>
    <x v="2"/>
    <x v="1"/>
    <s v="مصروفات"/>
    <d v="2026-05-25T00:00:00"/>
    <x v="3"/>
    <x v="5"/>
    <s v="لزوم ثمن فاتورة سباكة من الطاحونة "/>
    <n v="3166"/>
    <n v="0"/>
    <m/>
  </r>
  <r>
    <x v="2"/>
    <x v="1"/>
    <s v="مصروفات"/>
    <d v="2026-05-25T00:00:00"/>
    <x v="3"/>
    <x v="9"/>
    <s v="لزوم ثمن خمس شكاير اسمنت 1000 +150طوبة 400+ 3 عتبات متر 300 + 150 نقل "/>
    <n v="1850"/>
    <n v="0"/>
    <m/>
  </r>
  <r>
    <x v="2"/>
    <x v="1"/>
    <s v="مصروفات"/>
    <d v="2026-05-25T00:00:00"/>
    <x v="3"/>
    <x v="3"/>
    <s v="لزوم يومية نحات بهلتي وصاروخ لتكسير بالحمام والأرض وتنزيل الركش"/>
    <n v="1000"/>
    <n v="0"/>
    <m/>
  </r>
  <r>
    <x v="2"/>
    <x v="1"/>
    <s v="مصروفات"/>
    <d v="2026-05-25T00:00:00"/>
    <x v="3"/>
    <x v="7"/>
    <s v="لزوم يومية بنا للحمام وتركيب عتب الأبواب "/>
    <n v="1000"/>
    <n v="0"/>
    <m/>
  </r>
  <r>
    <x v="2"/>
    <x v="1"/>
    <s v="مصروفات"/>
    <d v="2026-05-25T00:00:00"/>
    <x v="3"/>
    <x v="50"/>
    <s v="لزوم 2 يومية عامل لتشوين الطوب والاسمنت"/>
    <n v="700"/>
    <n v="0"/>
    <m/>
  </r>
  <r>
    <x v="2"/>
    <x v="1"/>
    <s v="مصروفات"/>
    <d v="2026-05-25T00:00:00"/>
    <x v="3"/>
    <x v="18"/>
    <s v="لزوم ثمن نقل مخلفات من العيادة"/>
    <n v="200"/>
    <n v="0"/>
    <m/>
  </r>
  <r>
    <x v="2"/>
    <x v="2"/>
    <s v="ايرادات"/>
    <d v="2026-04-01T00:00:00"/>
    <x v="0"/>
    <x v="0"/>
    <s v="وارد من د ريم  ايجار شهر (2+3+4)"/>
    <n v="0"/>
    <n v="36000"/>
    <m/>
  </r>
  <r>
    <x v="2"/>
    <x v="2"/>
    <s v="مصروفات"/>
    <d v="2026-04-03T00:00:00"/>
    <x v="3"/>
    <x v="36"/>
    <s v="واصل من مصنعية الدريسينج"/>
    <n v="36000"/>
    <n v="0"/>
    <m/>
  </r>
  <r>
    <x v="2"/>
    <x v="2"/>
    <s v="ايرادات"/>
    <d v="2026-04-30T00:00:00"/>
    <x v="0"/>
    <x v="0"/>
    <s v="وارد من د ريم ايجار شهر 5"/>
    <n v="0"/>
    <n v="12000"/>
    <m/>
  </r>
  <r>
    <x v="2"/>
    <x v="2"/>
    <s v="مصروفات"/>
    <s v="010/05/2026"/>
    <x v="3"/>
    <x v="36"/>
    <s v="واصل من مصنعية الدريسينج"/>
    <n v="44000"/>
    <n v="0"/>
    <m/>
  </r>
  <r>
    <x v="3"/>
    <x v="3"/>
    <s v="ايرادات"/>
    <d v="2026-04-02T00:00:00"/>
    <x v="0"/>
    <x v="0"/>
    <s v="وارد من د محمود"/>
    <n v="0"/>
    <n v="100000"/>
    <m/>
  </r>
  <r>
    <x v="3"/>
    <x v="3"/>
    <s v="ايرادات"/>
    <d v="2026-05-07T00:00:00"/>
    <x v="0"/>
    <x v="0"/>
    <s v="وارد من د محمود لزوم فاتورة سيراميك"/>
    <n v="0"/>
    <n v="158000"/>
    <m/>
  </r>
  <r>
    <x v="3"/>
    <x v="3"/>
    <s v="ايرادات"/>
    <d v="2026-05-08T00:00:00"/>
    <x v="0"/>
    <x v="0"/>
    <s v="وارد من د محمود"/>
    <n v="0"/>
    <n v="150000"/>
    <m/>
  </r>
  <r>
    <x v="3"/>
    <x v="3"/>
    <s v="مصروفات"/>
    <d v="2026-04-02T00:00:00"/>
    <x v="1"/>
    <x v="1"/>
    <s v="لزوم ثمن تصميم 2D (5000) مجانا "/>
    <n v="0"/>
    <n v="0"/>
    <m/>
  </r>
  <r>
    <x v="3"/>
    <x v="3"/>
    <s v="مصروفات"/>
    <d v="2026-04-02T00:00:00"/>
    <x v="1"/>
    <x v="1"/>
    <s v="لزوم ثمن تصميم 3D ( 150 م*150 ج )  مجانا"/>
    <n v="0"/>
    <n v="0"/>
    <m/>
  </r>
  <r>
    <x v="3"/>
    <x v="3"/>
    <s v="مصروفات"/>
    <d v="2026-05-11T00:00:00"/>
    <x v="3"/>
    <x v="9"/>
    <s v="لزوم ثمن تشوينات 500 طوبة + 2 شكارة اسمنت +2 جركن ادابوند"/>
    <n v="5450"/>
    <n v="0"/>
    <m/>
  </r>
  <r>
    <x v="3"/>
    <x v="3"/>
    <s v="مصروفات"/>
    <d v="2026-05-07T00:00:00"/>
    <x v="3"/>
    <x v="30"/>
    <s v="لزوم فاتورة سيراميك"/>
    <n v="158000"/>
    <n v="0"/>
    <m/>
  </r>
  <r>
    <x v="3"/>
    <x v="3"/>
    <s v="مصروفات"/>
    <d v="2026-05-08T00:00:00"/>
    <x v="3"/>
    <x v="3"/>
    <s v="لزوم يومية 2 عامل لتكسير حوائط الطرقة +حوائط الجمام"/>
    <n v="1500"/>
    <n v="0"/>
    <m/>
  </r>
  <r>
    <x v="3"/>
    <x v="3"/>
    <s v="مصروفات"/>
    <d v="2026-05-09T00:00:00"/>
    <x v="3"/>
    <x v="21"/>
    <s v="لزوم يومي عامل بنا لبناء حائط بناء الحوائط "/>
    <n v="950"/>
    <n v="0"/>
    <m/>
  </r>
  <r>
    <x v="3"/>
    <x v="3"/>
    <s v="مصروفات"/>
    <d v="2026-05-10T00:00:00"/>
    <x v="3"/>
    <x v="31"/>
    <s v="لزوم ثمن فاتورة تأسيس صحي (سباكة) مواسير تغذيةمن القاهرة 31000+ upv صرف + 800 نقل"/>
    <n v="31800"/>
    <n v="0"/>
    <m/>
  </r>
  <r>
    <x v="3"/>
    <x v="3"/>
    <s v="مصروفات"/>
    <d v="2026-05-11T00:00:00"/>
    <x v="3"/>
    <x v="9"/>
    <s v="لزوم ثمن تشوينات 2 عربية رملة + 10 شكاير اسمنت + يومية "/>
    <n v="5000"/>
    <n v="0"/>
    <m/>
  </r>
  <r>
    <x v="3"/>
    <x v="3"/>
    <s v="مصروفات"/>
    <d v="2026-05-19T00:00:00"/>
    <x v="3"/>
    <x v="31"/>
    <s v="لزوم ثمن فاتورة صحي من شعبان"/>
    <n v="23500"/>
    <n v="0"/>
    <m/>
  </r>
  <r>
    <x v="3"/>
    <x v="3"/>
    <s v="مصروفات"/>
    <d v="2026-05-22T00:00:00"/>
    <x v="3"/>
    <x v="18"/>
    <s v="لزوم ثمن 3 نقلات مخلفات3 نقل مخلفات 5400 _x000a_ تكسير 600 شكاير تعبئه للرتش  150"/>
    <n v="6150"/>
    <n v="0"/>
    <m/>
  </r>
  <r>
    <x v="3"/>
    <x v="3"/>
    <s v="مصروفات"/>
    <d v="2026-05-22T00:00:00"/>
    <x v="3"/>
    <x v="13"/>
    <s v="لزوم مصنعية الكهربائى"/>
    <n v="15000"/>
    <n v="0"/>
    <m/>
  </r>
  <r>
    <x v="3"/>
    <x v="3"/>
    <s v="مصروفات"/>
    <d v="2026-05-22T00:00:00"/>
    <x v="3"/>
    <x v="14"/>
    <s v="لزوم ثمن فاتورة كهرباء واسلاك  ولوحة مفاتيح "/>
    <n v="47230"/>
    <n v="0"/>
    <m/>
  </r>
  <r>
    <x v="3"/>
    <x v="3"/>
    <s v="مصروفات"/>
    <d v="2026-05-22T00:00:00"/>
    <x v="3"/>
    <x v="15"/>
    <s v="لزوم ثمن سرة باب "/>
    <n v="300"/>
    <n v="0"/>
    <m/>
  </r>
  <r>
    <x v="3"/>
    <x v="3"/>
    <s v="مصروفات"/>
    <d v="2026-05-22T00:00:00"/>
    <x v="3"/>
    <x v="14"/>
    <s v="لزوم ثمن فاتورة سلك دش"/>
    <n v="2370"/>
    <n v="0"/>
    <m/>
  </r>
  <r>
    <x v="3"/>
    <x v="4"/>
    <s v="ايرادات"/>
    <d v="2026-04-03T00:00:00"/>
    <x v="0"/>
    <x v="0"/>
    <s v="لزوم ثمن27 طن حديد تسليح عز بسعر 38600"/>
    <n v="0"/>
    <n v="1042200"/>
    <m/>
  </r>
  <r>
    <x v="3"/>
    <x v="4"/>
    <s v="ايرادات"/>
    <d v="2026-04-10T00:00:00"/>
    <x v="0"/>
    <x v="0"/>
    <s v="وارد من د محمود"/>
    <n v="0"/>
    <n v="400000"/>
    <m/>
  </r>
  <r>
    <x v="3"/>
    <x v="4"/>
    <s v="مصروفات"/>
    <d v="2026-04-10T00:00:00"/>
    <x v="1"/>
    <x v="1"/>
    <s v="لزوم تصميم 2D "/>
    <n v="0"/>
    <n v="0"/>
    <m/>
  </r>
  <r>
    <x v="3"/>
    <x v="4"/>
    <s v="مصروفات"/>
    <d v="2026-04-01T00:00:00"/>
    <x v="8"/>
    <x v="16"/>
    <s v="لزوم ثمن27 طن حديد تسليح عز بسعر 38600"/>
    <n v="1042200"/>
    <n v="0"/>
    <m/>
  </r>
  <r>
    <x v="3"/>
    <x v="4"/>
    <s v="مصروفات"/>
    <d v="2026-04-01T00:00:00"/>
    <x v="8"/>
    <x v="14"/>
    <s v="لزوم ثمن فاتورة اسلاك نحاس1.5مم+2مم+  3مم+ 4 مم +6مم+10م سويدي هلال "/>
    <n v="385102"/>
    <n v="0"/>
    <m/>
  </r>
  <r>
    <x v="3"/>
    <x v="4"/>
    <s v="مصروفات"/>
    <d v="2026-04-15T00:00:00"/>
    <x v="8"/>
    <x v="14"/>
    <s v="لزوم ثمن فاتورة كابلات نت وتلفزيون من سويدي صادق"/>
    <n v="40208"/>
    <n v="0"/>
    <m/>
  </r>
  <r>
    <x v="3"/>
    <x v="4"/>
    <s v="مصروفات"/>
    <d v="2026-04-01T00:00:00"/>
    <x v="9"/>
    <x v="2"/>
    <s v="لزوم ترخيص"/>
    <n v="5000"/>
    <n v="0"/>
    <m/>
  </r>
  <r>
    <x v="3"/>
    <x v="4"/>
    <s v="مصروفات"/>
    <d v="2026-04-02T00:00:00"/>
    <x v="9"/>
    <x v="2"/>
    <s v="لزوم ترخيص"/>
    <n v="0"/>
    <n v="5000"/>
    <m/>
  </r>
  <r>
    <x v="4"/>
    <x v="5"/>
    <s v="مصروفات"/>
    <d v="2026-05-23T00:00:00"/>
    <x v="8"/>
    <x v="39"/>
    <s v="لزوم ثمن فاتورة داهنات من اركيم "/>
    <n v="7265"/>
    <n v="0"/>
    <m/>
  </r>
  <r>
    <x v="4"/>
    <x v="5"/>
    <s v="مصروفات"/>
    <d v="2026-05-24T00:00:00"/>
    <x v="8"/>
    <x v="16"/>
    <s v="واصل من مصنعية الحداد"/>
    <n v="10000"/>
    <n v="0"/>
    <m/>
  </r>
  <r>
    <x v="4"/>
    <x v="5"/>
    <s v="مصروفات"/>
    <d v="2026-05-24T00:00:00"/>
    <x v="8"/>
    <x v="16"/>
    <s v="لزوم مصنعية للاستورجي "/>
    <n v="1500"/>
    <n v="0"/>
    <m/>
  </r>
  <r>
    <x v="5"/>
    <x v="0"/>
    <s v="ايرادات"/>
    <d v="2026-04-25T00:00:00"/>
    <x v="0"/>
    <x v="0"/>
    <s v="وارد بيد أ الاء"/>
    <n v="0"/>
    <n v="100000"/>
    <m/>
  </r>
  <r>
    <x v="5"/>
    <x v="0"/>
    <s v="ايرادات"/>
    <d v="2026-04-26T00:00:00"/>
    <x v="0"/>
    <x v="0"/>
    <s v="وارد بيد أ أحمد الجندي"/>
    <n v="0"/>
    <n v="166800"/>
    <m/>
  </r>
  <r>
    <x v="5"/>
    <x v="0"/>
    <s v="ايرادات"/>
    <d v="2026-05-03T00:00:00"/>
    <x v="0"/>
    <x v="0"/>
    <s v="وارد بيد أ أحمد الجندي"/>
    <n v="0"/>
    <n v="108200"/>
    <m/>
  </r>
  <r>
    <x v="5"/>
    <x v="0"/>
    <s v="مصروفات"/>
    <d v="2026-04-21T00:00:00"/>
    <x v="3"/>
    <x v="36"/>
    <s v="واصل من اعمال الخشب (المطبخ)"/>
    <n v="50000"/>
    <n v="0"/>
    <m/>
  </r>
  <r>
    <x v="5"/>
    <x v="0"/>
    <s v="مصروفات"/>
    <d v="2026-05-15T00:00:00"/>
    <x v="3"/>
    <x v="36"/>
    <s v="واصل من اعمال الخشب "/>
    <n v="158000"/>
    <n v="0"/>
    <m/>
  </r>
  <r>
    <x v="5"/>
    <x v="0"/>
    <s v="مصروفات"/>
    <d v="2026-04-25T00:00:00"/>
    <x v="3"/>
    <x v="51"/>
    <s v="لزوم ثمن الانتريهات"/>
    <n v="40000"/>
    <n v="0"/>
    <m/>
  </r>
  <r>
    <x v="5"/>
    <x v="0"/>
    <s v="مصروفات"/>
    <d v="2026-04-25T00:00:00"/>
    <x v="3"/>
    <x v="51"/>
    <s v="لزوم ثمن اجهزة كهربائية"/>
    <n v="10000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EC6A1-AE9E-4B6C-90DF-84B47A60FF29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C11" firstHeaderRow="2" firstDataRow="2" firstDataCol="2"/>
  <pivotFields count="10">
    <pivotField axis="axisRow" compact="0" outline="0" showAll="0" defaultSubtotal="0">
      <items count="6">
        <item x="1"/>
        <item x="0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</pivotFields>
  <rowFields count="2">
    <field x="0"/>
    <field x="1"/>
  </rowFields>
  <rowItems count="9">
    <i>
      <x/>
      <x/>
    </i>
    <i>
      <x v="1"/>
      <x/>
    </i>
    <i>
      <x v="2"/>
      <x v="1"/>
    </i>
    <i r="1">
      <x v="2"/>
    </i>
    <i>
      <x v="3"/>
      <x v="3"/>
    </i>
    <i r="1">
      <x v="4"/>
    </i>
    <i>
      <x v="4"/>
      <x v="5"/>
    </i>
    <i>
      <x v="5"/>
      <x/>
    </i>
    <i t="grand">
      <x/>
    </i>
  </rowItems>
  <colItems count="1">
    <i/>
  </colItems>
  <dataFields count="1">
    <dataField name="Count of تاريخ" fld="3" subtotal="count" baseField="0" baseItem="0"/>
  </dataFields>
  <formats count="20"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0" type="button" dataOnly="0" labelOnly="1" outline="0" axis="axisRow" fieldPosition="0"/>
    </format>
    <format dxfId="75">
      <pivotArea field="1" type="button" dataOnly="0" labelOnly="1" outline="0" axis="axisRow" fieldPosition="1"/>
    </format>
    <format dxfId="74">
      <pivotArea dataOnly="0" labelOnly="1" outline="0" fieldPosition="0">
        <references count="1">
          <reference field="0" count="0"/>
        </references>
      </pivotArea>
    </format>
    <format dxfId="73">
      <pivotArea dataOnly="0" labelOnly="1" grandRow="1" outline="0" fieldPosition="0"/>
    </format>
    <format dxfId="72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"/>
          </reference>
          <reference field="1" count="1">
            <x v="0"/>
          </reference>
        </references>
      </pivotArea>
    </format>
    <format dxfId="70">
      <pivotArea type="topRight" dataOnly="0" labelOnly="1" outline="0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fieldPosition="0"/>
    </format>
    <format dxfId="66">
      <pivotArea field="0" type="button" dataOnly="0" labelOnly="1" outline="0" axis="axisRow" fieldPosition="0"/>
    </format>
    <format dxfId="65">
      <pivotArea field="1" type="button" dataOnly="0" labelOnly="1" outline="0" axis="axisRow" fieldPosition="1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"/>
          </reference>
          <reference field="1" count="1">
            <x v="0"/>
          </reference>
        </references>
      </pivotArea>
    </format>
    <format dxfId="60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D9B6B-CFC3-4674-8868-5BA6698C11A3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C57" firstHeaderRow="2" firstDataRow="2" firstDataCol="2"/>
  <pivotFields count="10">
    <pivotField compact="0" outline="0" showAll="0" defaultSubtotal="0"/>
    <pivotField compact="0" outline="0" showAll="0" defaultSubtotal="0"/>
    <pivotField compact="0" outline="0" subtotalTop="0" showAll="0" defaultSubtotal="0"/>
    <pivotField dataField="1" compact="0" outline="0" showAll="0" defaultSubtotal="0"/>
    <pivotField axis="axisRow" compact="0" outline="0" showAll="0" defaultSubtotal="0">
      <items count="11">
        <item x="9"/>
        <item x="2"/>
        <item x="1"/>
        <item x="8"/>
        <item x="5"/>
        <item m="1" x="10"/>
        <item x="3"/>
        <item h="1" x="0"/>
        <item h="1" x="7"/>
        <item h="1" x="4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m="1" x="52"/>
        <item x="15"/>
        <item x="29"/>
        <item x="30"/>
        <item x="37"/>
        <item x="32"/>
        <item x="22"/>
        <item x="47"/>
        <item x="7"/>
        <item x="19"/>
        <item x="20"/>
        <item x="2"/>
        <item x="9"/>
        <item x="17"/>
        <item x="26"/>
        <item x="16"/>
        <item x="33"/>
        <item x="5"/>
        <item x="8"/>
        <item x="31"/>
        <item x="10"/>
        <item x="45"/>
        <item x="14"/>
        <item x="13"/>
        <item x="41"/>
        <item x="11"/>
        <item x="12"/>
        <item x="36"/>
        <item x="18"/>
        <item x="39"/>
        <item x="46"/>
        <item x="38"/>
        <item x="23"/>
        <item x="6"/>
        <item x="4"/>
        <item x="51"/>
        <item x="0"/>
        <item x="34"/>
        <item x="35"/>
        <item x="49"/>
        <item x="42"/>
        <item x="44"/>
        <item x="21"/>
        <item x="1"/>
        <item x="3"/>
        <item x="24"/>
        <item x="25"/>
        <item x="27"/>
        <item x="28"/>
        <item x="40"/>
        <item x="43"/>
        <item x="48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</pivotFields>
  <rowFields count="2">
    <field x="4"/>
    <field x="5"/>
  </rowFields>
  <rowItems count="55">
    <i>
      <x/>
      <x v="11"/>
    </i>
    <i>
      <x v="1"/>
      <x v="11"/>
    </i>
    <i>
      <x v="2"/>
      <x v="43"/>
    </i>
    <i>
      <x v="3"/>
      <x v="15"/>
    </i>
    <i r="1">
      <x v="22"/>
    </i>
    <i r="1">
      <x v="29"/>
    </i>
    <i>
      <x v="4"/>
      <x v="8"/>
    </i>
    <i r="1">
      <x v="15"/>
    </i>
    <i r="1">
      <x v="50"/>
    </i>
    <i>
      <x v="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7"/>
    </i>
    <i r="1">
      <x v="38"/>
    </i>
    <i r="1">
      <x v="42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t="grand">
      <x/>
    </i>
  </rowItems>
  <colItems count="1">
    <i/>
  </colItems>
  <dataFields count="1">
    <dataField name="Count of تاريخ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D57055-2F68-4A21-BA36-E5D2385336C8}" name="Table1" displayName="Table1" ref="A1:J740" totalsRowShown="0" headerRowDxfId="94" dataDxfId="92" headerRowBorderDxfId="93" tableBorderDxfId="91" totalsRowBorderDxfId="90">
  <autoFilter ref="A1:J740" xr:uid="{011C0CE7-6445-49C9-BBEE-21958062B1E4}"/>
  <tableColumns count="10">
    <tableColumn id="1" xr3:uid="{15DAE80A-CB18-47F5-9E9F-207B5CEA88FE}" name="العميل" dataDxfId="89"/>
    <tableColumn id="2" xr3:uid="{F9B6E543-5FF1-4370-918B-1FE2B6AA5C88}" name="المشروع" dataDxfId="88"/>
    <tableColumn id="10" xr3:uid="{07CD6D2B-1DA7-4F23-BA72-CD067F0159C2}" name="إيرادات / مصروفات" dataDxfId="87"/>
    <tableColumn id="3" xr3:uid="{7C63A4F0-5DD5-408C-8243-D2043EB77A3B}" name="تاريخ" dataDxfId="86"/>
    <tableColumn id="4" xr3:uid="{92033B3D-6B32-4F3B-9A82-6C3A9714F901}" name="القسم" dataDxfId="85"/>
    <tableColumn id="5" xr3:uid="{AC2088E6-82A2-4C45-B4F7-DE09BC175513}" name="البند تفصيلي" dataDxfId="84"/>
    <tableColumn id="6" xr3:uid="{3FCBFE11-AD15-4F30-B723-37E3D169D704}" name="البيان" dataDxfId="83"/>
    <tableColumn id="7" xr3:uid="{80818F4A-5EC6-4A91-93FA-1BA205D8E158}" name="منصرف" dataDxfId="82"/>
    <tableColumn id="8" xr3:uid="{B352314C-04DA-4AD1-B27D-1A264AA4FFD7}" name="وارد" dataDxfId="81"/>
    <tableColumn id="9" xr3:uid="{FBEBB221-129C-42E5-9C7B-5CD7285D281D}" name="نسبة الاشراف" data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0CE7-6445-49C9-BBEE-21958062B1E4}">
  <sheetPr>
    <pageSetUpPr fitToPage="1"/>
  </sheetPr>
  <dimension ref="A1:AJ740"/>
  <sheetViews>
    <sheetView rightToLeft="1" zoomScale="83" zoomScaleNormal="83" workbookViewId="0">
      <pane ySplit="1" topLeftCell="A721" activePane="bottomLeft" state="frozen"/>
      <selection pane="bottomLeft" activeCell="G1" sqref="G1"/>
    </sheetView>
  </sheetViews>
  <sheetFormatPr defaultRowHeight="14.4" x14ac:dyDescent="0.3"/>
  <cols>
    <col min="1" max="1" width="16.77734375" bestFit="1" customWidth="1"/>
    <col min="2" max="2" width="20.88671875" bestFit="1" customWidth="1"/>
    <col min="3" max="3" width="23" bestFit="1" customWidth="1"/>
    <col min="4" max="4" width="17.109375" bestFit="1" customWidth="1"/>
    <col min="5" max="5" width="20.33203125" bestFit="1" customWidth="1"/>
    <col min="6" max="6" width="24.6640625" bestFit="1" customWidth="1"/>
    <col min="7" max="7" width="58.77734375" customWidth="1"/>
    <col min="8" max="8" width="14.44140625" bestFit="1" customWidth="1"/>
    <col min="9" max="9" width="12.109375" bestFit="1" customWidth="1"/>
    <col min="10" max="10" width="20.44140625" bestFit="1" customWidth="1"/>
    <col min="11" max="11" width="24.77734375" bestFit="1" customWidth="1"/>
    <col min="12" max="12" width="10.21875" bestFit="1" customWidth="1"/>
    <col min="13" max="17" width="9.77734375" bestFit="1" customWidth="1"/>
    <col min="18" max="18" width="16.77734375" bestFit="1" customWidth="1"/>
    <col min="19" max="19" width="12.5546875" bestFit="1" customWidth="1"/>
    <col min="20" max="20" width="10.33203125" bestFit="1" customWidth="1"/>
    <col min="21" max="40" width="9.77734375" bestFit="1" customWidth="1"/>
    <col min="41" max="41" width="11.21875" bestFit="1" customWidth="1"/>
    <col min="42" max="51" width="5" bestFit="1" customWidth="1"/>
    <col min="52" max="52" width="8" bestFit="1" customWidth="1"/>
    <col min="53" max="101" width="5" bestFit="1" customWidth="1"/>
    <col min="102" max="174" width="6" bestFit="1" customWidth="1"/>
    <col min="175" max="175" width="7" bestFit="1" customWidth="1"/>
    <col min="176" max="176" width="9" bestFit="1" customWidth="1"/>
    <col min="177" max="181" width="7" bestFit="1" customWidth="1"/>
    <col min="182" max="182" width="9" bestFit="1" customWidth="1"/>
    <col min="183" max="183" width="7" bestFit="1" customWidth="1"/>
    <col min="184" max="184" width="11.33203125" bestFit="1" customWidth="1"/>
  </cols>
  <sheetData>
    <row r="1" spans="1:36" ht="21" x14ac:dyDescent="0.3">
      <c r="A1" s="12" t="s">
        <v>738</v>
      </c>
      <c r="B1" s="13" t="s">
        <v>739</v>
      </c>
      <c r="C1" s="13" t="s">
        <v>760</v>
      </c>
      <c r="D1" s="14" t="s">
        <v>0</v>
      </c>
      <c r="E1" s="15" t="s">
        <v>386</v>
      </c>
      <c r="F1" s="15" t="s">
        <v>393</v>
      </c>
      <c r="G1" s="19" t="s">
        <v>763</v>
      </c>
      <c r="H1" s="16" t="s">
        <v>1</v>
      </c>
      <c r="I1" s="17" t="s">
        <v>2</v>
      </c>
      <c r="J1" s="18" t="s">
        <v>342</v>
      </c>
    </row>
    <row r="2" spans="1:36" ht="21" x14ac:dyDescent="0.3">
      <c r="A2" s="6" t="s">
        <v>472</v>
      </c>
      <c r="B2" s="6" t="s">
        <v>740</v>
      </c>
      <c r="C2" s="8" t="s">
        <v>10</v>
      </c>
      <c r="D2" s="7">
        <v>45731</v>
      </c>
      <c r="E2" s="8" t="s">
        <v>10</v>
      </c>
      <c r="F2" s="8" t="s">
        <v>10</v>
      </c>
      <c r="G2" s="20" t="s">
        <v>3</v>
      </c>
      <c r="H2" s="9">
        <v>0</v>
      </c>
      <c r="I2" s="9">
        <v>200000</v>
      </c>
      <c r="J2" s="21"/>
    </row>
    <row r="3" spans="1:36" ht="21" x14ac:dyDescent="0.3">
      <c r="A3" s="6" t="s">
        <v>472</v>
      </c>
      <c r="B3" s="6" t="s">
        <v>740</v>
      </c>
      <c r="C3" s="8" t="s">
        <v>10</v>
      </c>
      <c r="D3" s="7">
        <v>45781</v>
      </c>
      <c r="E3" s="8" t="s">
        <v>10</v>
      </c>
      <c r="F3" s="8" t="s">
        <v>10</v>
      </c>
      <c r="G3" s="20" t="s">
        <v>4</v>
      </c>
      <c r="H3" s="9">
        <v>0</v>
      </c>
      <c r="I3" s="9">
        <v>200000</v>
      </c>
      <c r="J3" s="21"/>
      <c r="K3" s="3"/>
    </row>
    <row r="4" spans="1:36" ht="21" x14ac:dyDescent="0.3">
      <c r="A4" s="6" t="s">
        <v>472</v>
      </c>
      <c r="B4" s="6" t="s">
        <v>740</v>
      </c>
      <c r="C4" s="8" t="s">
        <v>10</v>
      </c>
      <c r="D4" s="7">
        <v>45792</v>
      </c>
      <c r="E4" s="8" t="s">
        <v>10</v>
      </c>
      <c r="F4" s="8" t="s">
        <v>10</v>
      </c>
      <c r="G4" s="20" t="s">
        <v>4</v>
      </c>
      <c r="H4" s="9">
        <v>0</v>
      </c>
      <c r="I4" s="9">
        <v>400000</v>
      </c>
      <c r="J4" s="21"/>
    </row>
    <row r="5" spans="1:36" s="1" customFormat="1" ht="42" x14ac:dyDescent="0.3">
      <c r="A5" s="6" t="s">
        <v>472</v>
      </c>
      <c r="B5" s="6" t="s">
        <v>740</v>
      </c>
      <c r="C5" s="8" t="s">
        <v>10</v>
      </c>
      <c r="D5" s="7">
        <v>45798</v>
      </c>
      <c r="E5" s="8" t="s">
        <v>10</v>
      </c>
      <c r="F5" s="8" t="s">
        <v>10</v>
      </c>
      <c r="G5" s="20" t="s">
        <v>5</v>
      </c>
      <c r="H5" s="9">
        <v>0</v>
      </c>
      <c r="I5" s="9">
        <v>32000</v>
      </c>
      <c r="J5" s="21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</row>
    <row r="6" spans="1:36" ht="21" x14ac:dyDescent="0.3">
      <c r="A6" s="6" t="s">
        <v>472</v>
      </c>
      <c r="B6" s="6" t="s">
        <v>740</v>
      </c>
      <c r="C6" s="8" t="s">
        <v>10</v>
      </c>
      <c r="D6" s="7">
        <v>45805</v>
      </c>
      <c r="E6" s="8" t="s">
        <v>10</v>
      </c>
      <c r="F6" s="8" t="s">
        <v>10</v>
      </c>
      <c r="G6" s="20" t="s">
        <v>6</v>
      </c>
      <c r="H6" s="9">
        <v>0</v>
      </c>
      <c r="I6" s="9">
        <v>9500</v>
      </c>
      <c r="J6" s="21"/>
      <c r="K6" s="3"/>
    </row>
    <row r="7" spans="1:36" ht="21" x14ac:dyDescent="0.3">
      <c r="A7" s="6" t="s">
        <v>472</v>
      </c>
      <c r="B7" s="6" t="s">
        <v>740</v>
      </c>
      <c r="C7" s="8" t="s">
        <v>10</v>
      </c>
      <c r="D7" s="7">
        <v>45811</v>
      </c>
      <c r="E7" s="8" t="s">
        <v>10</v>
      </c>
      <c r="F7" s="8" t="s">
        <v>10</v>
      </c>
      <c r="G7" s="20" t="s">
        <v>4</v>
      </c>
      <c r="H7" s="9">
        <v>0</v>
      </c>
      <c r="I7" s="9">
        <v>300000</v>
      </c>
      <c r="J7" s="21"/>
    </row>
    <row r="8" spans="1:36" ht="21" x14ac:dyDescent="0.3">
      <c r="A8" s="6" t="s">
        <v>472</v>
      </c>
      <c r="B8" s="6" t="s">
        <v>740</v>
      </c>
      <c r="C8" s="8" t="s">
        <v>10</v>
      </c>
      <c r="D8" s="7">
        <v>45839</v>
      </c>
      <c r="E8" s="8" t="s">
        <v>10</v>
      </c>
      <c r="F8" s="8" t="s">
        <v>10</v>
      </c>
      <c r="G8" s="20" t="s">
        <v>7</v>
      </c>
      <c r="H8" s="9">
        <v>0</v>
      </c>
      <c r="I8" s="9">
        <v>4500</v>
      </c>
      <c r="J8" s="21"/>
    </row>
    <row r="9" spans="1:36" ht="21" x14ac:dyDescent="0.3">
      <c r="A9" s="6" t="s">
        <v>472</v>
      </c>
      <c r="B9" s="6" t="s">
        <v>740</v>
      </c>
      <c r="C9" s="8" t="s">
        <v>10</v>
      </c>
      <c r="D9" s="7">
        <v>45847</v>
      </c>
      <c r="E9" s="8" t="s">
        <v>10</v>
      </c>
      <c r="F9" s="8" t="s">
        <v>10</v>
      </c>
      <c r="G9" s="20" t="s">
        <v>4</v>
      </c>
      <c r="H9" s="9">
        <v>0</v>
      </c>
      <c r="I9" s="9">
        <v>100000</v>
      </c>
      <c r="J9" s="21"/>
    </row>
    <row r="10" spans="1:36" ht="21" x14ac:dyDescent="0.3">
      <c r="A10" s="6" t="s">
        <v>472</v>
      </c>
      <c r="B10" s="6" t="s">
        <v>740</v>
      </c>
      <c r="C10" s="8" t="s">
        <v>10</v>
      </c>
      <c r="D10" s="7">
        <v>45860</v>
      </c>
      <c r="E10" s="8" t="s">
        <v>10</v>
      </c>
      <c r="F10" s="8" t="s">
        <v>10</v>
      </c>
      <c r="G10" s="20" t="s">
        <v>4</v>
      </c>
      <c r="H10" s="9">
        <v>0</v>
      </c>
      <c r="I10" s="9">
        <v>200000</v>
      </c>
      <c r="J10" s="21"/>
    </row>
    <row r="11" spans="1:36" ht="21" x14ac:dyDescent="0.3">
      <c r="A11" s="6" t="s">
        <v>472</v>
      </c>
      <c r="B11" s="6" t="s">
        <v>740</v>
      </c>
      <c r="C11" s="8" t="s">
        <v>10</v>
      </c>
      <c r="D11" s="7">
        <v>45867</v>
      </c>
      <c r="E11" s="8" t="s">
        <v>10</v>
      </c>
      <c r="F11" s="8" t="s">
        <v>10</v>
      </c>
      <c r="G11" s="20" t="s">
        <v>4</v>
      </c>
      <c r="H11" s="9">
        <v>0</v>
      </c>
      <c r="I11" s="9">
        <v>200000</v>
      </c>
      <c r="J11" s="21"/>
    </row>
    <row r="12" spans="1:36" ht="21" x14ac:dyDescent="0.3">
      <c r="A12" s="6" t="s">
        <v>472</v>
      </c>
      <c r="B12" s="6" t="s">
        <v>740</v>
      </c>
      <c r="C12" s="8" t="s">
        <v>10</v>
      </c>
      <c r="D12" s="7">
        <v>45868</v>
      </c>
      <c r="E12" s="8" t="s">
        <v>10</v>
      </c>
      <c r="F12" s="8" t="s">
        <v>10</v>
      </c>
      <c r="G12" s="20" t="s">
        <v>8</v>
      </c>
      <c r="H12" s="9">
        <v>0</v>
      </c>
      <c r="I12" s="9">
        <v>40000</v>
      </c>
      <c r="J12" s="21"/>
    </row>
    <row r="13" spans="1:36" ht="21" x14ac:dyDescent="0.3">
      <c r="A13" s="6" t="s">
        <v>472</v>
      </c>
      <c r="B13" s="6" t="s">
        <v>740</v>
      </c>
      <c r="C13" s="8" t="s">
        <v>10</v>
      </c>
      <c r="D13" s="7">
        <v>45886</v>
      </c>
      <c r="E13" s="8" t="s">
        <v>10</v>
      </c>
      <c r="F13" s="8" t="s">
        <v>10</v>
      </c>
      <c r="G13" s="20" t="s">
        <v>4</v>
      </c>
      <c r="H13" s="9">
        <v>0</v>
      </c>
      <c r="I13" s="9">
        <v>400000</v>
      </c>
      <c r="J13" s="21"/>
    </row>
    <row r="14" spans="1:36" ht="21" x14ac:dyDescent="0.3">
      <c r="A14" s="6" t="s">
        <v>472</v>
      </c>
      <c r="B14" s="6" t="s">
        <v>740</v>
      </c>
      <c r="C14" s="8" t="s">
        <v>10</v>
      </c>
      <c r="D14" s="7">
        <v>45897</v>
      </c>
      <c r="E14" s="8" t="s">
        <v>10</v>
      </c>
      <c r="F14" s="8" t="s">
        <v>10</v>
      </c>
      <c r="G14" s="20" t="s">
        <v>4</v>
      </c>
      <c r="H14" s="9">
        <v>0</v>
      </c>
      <c r="I14" s="9">
        <v>200000</v>
      </c>
      <c r="J14" s="21"/>
    </row>
    <row r="15" spans="1:36" ht="21" x14ac:dyDescent="0.3">
      <c r="A15" s="6" t="s">
        <v>472</v>
      </c>
      <c r="B15" s="6" t="s">
        <v>740</v>
      </c>
      <c r="C15" s="8" t="s">
        <v>10</v>
      </c>
      <c r="D15" s="7">
        <v>45905</v>
      </c>
      <c r="E15" s="8" t="s">
        <v>10</v>
      </c>
      <c r="F15" s="8" t="s">
        <v>10</v>
      </c>
      <c r="G15" s="20" t="s">
        <v>4</v>
      </c>
      <c r="H15" s="9">
        <v>0</v>
      </c>
      <c r="I15" s="9">
        <v>100000</v>
      </c>
      <c r="J15" s="21"/>
    </row>
    <row r="16" spans="1:36" ht="21" x14ac:dyDescent="0.3">
      <c r="A16" s="6" t="s">
        <v>472</v>
      </c>
      <c r="B16" s="6" t="s">
        <v>740</v>
      </c>
      <c r="C16" s="8" t="s">
        <v>10</v>
      </c>
      <c r="D16" s="7">
        <v>45908</v>
      </c>
      <c r="E16" s="8" t="s">
        <v>10</v>
      </c>
      <c r="F16" s="8" t="s">
        <v>10</v>
      </c>
      <c r="G16" s="20" t="s">
        <v>4</v>
      </c>
      <c r="H16" s="9">
        <v>0</v>
      </c>
      <c r="I16" s="9">
        <v>200000</v>
      </c>
      <c r="J16" s="21"/>
    </row>
    <row r="17" spans="1:10" ht="21" x14ac:dyDescent="0.3">
      <c r="A17" s="6" t="s">
        <v>472</v>
      </c>
      <c r="B17" s="6" t="s">
        <v>740</v>
      </c>
      <c r="C17" s="8" t="s">
        <v>10</v>
      </c>
      <c r="D17" s="7">
        <v>45911</v>
      </c>
      <c r="E17" s="8" t="s">
        <v>10</v>
      </c>
      <c r="F17" s="8" t="s">
        <v>10</v>
      </c>
      <c r="G17" s="20" t="s">
        <v>4</v>
      </c>
      <c r="H17" s="9">
        <v>0</v>
      </c>
      <c r="I17" s="9">
        <v>200000</v>
      </c>
      <c r="J17" s="21"/>
    </row>
    <row r="18" spans="1:10" ht="21" x14ac:dyDescent="0.3">
      <c r="A18" s="6" t="s">
        <v>472</v>
      </c>
      <c r="B18" s="6" t="s">
        <v>740</v>
      </c>
      <c r="C18" s="8" t="s">
        <v>10</v>
      </c>
      <c r="D18" s="7">
        <v>45920</v>
      </c>
      <c r="E18" s="8" t="s">
        <v>10</v>
      </c>
      <c r="F18" s="8" t="s">
        <v>10</v>
      </c>
      <c r="G18" s="20" t="s">
        <v>4</v>
      </c>
      <c r="H18" s="9">
        <v>0</v>
      </c>
      <c r="I18" s="9">
        <v>200000</v>
      </c>
      <c r="J18" s="21"/>
    </row>
    <row r="19" spans="1:10" ht="21" x14ac:dyDescent="0.3">
      <c r="A19" s="6" t="s">
        <v>472</v>
      </c>
      <c r="B19" s="6" t="s">
        <v>740</v>
      </c>
      <c r="C19" s="8" t="s">
        <v>10</v>
      </c>
      <c r="D19" s="7">
        <v>45936</v>
      </c>
      <c r="E19" s="8" t="s">
        <v>10</v>
      </c>
      <c r="F19" s="8" t="s">
        <v>10</v>
      </c>
      <c r="G19" s="20" t="s">
        <v>4</v>
      </c>
      <c r="H19" s="9">
        <v>0</v>
      </c>
      <c r="I19" s="9">
        <v>170000</v>
      </c>
      <c r="J19" s="21"/>
    </row>
    <row r="20" spans="1:10" ht="21" x14ac:dyDescent="0.3">
      <c r="A20" s="6" t="s">
        <v>472</v>
      </c>
      <c r="B20" s="6" t="s">
        <v>740</v>
      </c>
      <c r="C20" s="8" t="s">
        <v>10</v>
      </c>
      <c r="D20" s="7">
        <v>45952</v>
      </c>
      <c r="E20" s="8" t="s">
        <v>10</v>
      </c>
      <c r="F20" s="8" t="s">
        <v>10</v>
      </c>
      <c r="G20" s="20" t="s">
        <v>4</v>
      </c>
      <c r="H20" s="9">
        <v>0</v>
      </c>
      <c r="I20" s="9">
        <v>200000</v>
      </c>
      <c r="J20" s="21"/>
    </row>
    <row r="21" spans="1:10" ht="21" x14ac:dyDescent="0.3">
      <c r="A21" s="6" t="s">
        <v>472</v>
      </c>
      <c r="B21" s="6" t="s">
        <v>740</v>
      </c>
      <c r="C21" s="8" t="s">
        <v>10</v>
      </c>
      <c r="D21" s="7">
        <v>45959</v>
      </c>
      <c r="E21" s="8" t="s">
        <v>10</v>
      </c>
      <c r="F21" s="8" t="s">
        <v>10</v>
      </c>
      <c r="G21" s="20" t="s">
        <v>4</v>
      </c>
      <c r="H21" s="9">
        <v>0</v>
      </c>
      <c r="I21" s="9">
        <v>300000</v>
      </c>
      <c r="J21" s="21"/>
    </row>
    <row r="22" spans="1:10" ht="21" x14ac:dyDescent="0.3">
      <c r="A22" s="6" t="s">
        <v>472</v>
      </c>
      <c r="B22" s="6" t="s">
        <v>740</v>
      </c>
      <c r="C22" s="8" t="s">
        <v>10</v>
      </c>
      <c r="D22" s="7">
        <v>45960</v>
      </c>
      <c r="E22" s="8" t="s">
        <v>10</v>
      </c>
      <c r="F22" s="8" t="s">
        <v>10</v>
      </c>
      <c r="G22" s="20" t="s">
        <v>9</v>
      </c>
      <c r="H22" s="9">
        <v>0</v>
      </c>
      <c r="I22" s="9">
        <v>5300</v>
      </c>
      <c r="J22" s="21"/>
    </row>
    <row r="23" spans="1:10" ht="21" x14ac:dyDescent="0.3">
      <c r="A23" s="6" t="s">
        <v>472</v>
      </c>
      <c r="B23" s="6" t="s">
        <v>740</v>
      </c>
      <c r="C23" s="8" t="s">
        <v>10</v>
      </c>
      <c r="D23" s="7">
        <v>45976</v>
      </c>
      <c r="E23" s="8" t="s">
        <v>10</v>
      </c>
      <c r="F23" s="8" t="s">
        <v>10</v>
      </c>
      <c r="G23" s="20" t="s">
        <v>4</v>
      </c>
      <c r="H23" s="9">
        <v>0</v>
      </c>
      <c r="I23" s="9">
        <v>200000</v>
      </c>
      <c r="J23" s="21"/>
    </row>
    <row r="24" spans="1:10" ht="21" x14ac:dyDescent="0.3">
      <c r="A24" s="6" t="s">
        <v>472</v>
      </c>
      <c r="B24" s="6" t="s">
        <v>740</v>
      </c>
      <c r="C24" s="8" t="s">
        <v>10</v>
      </c>
      <c r="D24" s="7">
        <v>45992</v>
      </c>
      <c r="E24" s="8" t="s">
        <v>10</v>
      </c>
      <c r="F24" s="8" t="s">
        <v>10</v>
      </c>
      <c r="G24" s="20" t="s">
        <v>4</v>
      </c>
      <c r="H24" s="9">
        <v>0</v>
      </c>
      <c r="I24" s="9">
        <v>400000</v>
      </c>
      <c r="J24" s="21"/>
    </row>
    <row r="25" spans="1:10" ht="21" x14ac:dyDescent="0.3">
      <c r="A25" s="6" t="s">
        <v>472</v>
      </c>
      <c r="B25" s="6" t="s">
        <v>740</v>
      </c>
      <c r="C25" s="8" t="s">
        <v>10</v>
      </c>
      <c r="D25" s="7">
        <v>46037</v>
      </c>
      <c r="E25" s="8" t="s">
        <v>10</v>
      </c>
      <c r="F25" s="8" t="s">
        <v>10</v>
      </c>
      <c r="G25" s="20" t="s">
        <v>4</v>
      </c>
      <c r="H25" s="9">
        <v>0</v>
      </c>
      <c r="I25" s="9">
        <v>500000</v>
      </c>
      <c r="J25" s="21"/>
    </row>
    <row r="26" spans="1:10" ht="21" x14ac:dyDescent="0.3">
      <c r="A26" s="6" t="s">
        <v>472</v>
      </c>
      <c r="B26" s="6" t="s">
        <v>740</v>
      </c>
      <c r="C26" s="8" t="s">
        <v>10</v>
      </c>
      <c r="D26" s="7">
        <v>46052</v>
      </c>
      <c r="E26" s="8" t="s">
        <v>10</v>
      </c>
      <c r="F26" s="8" t="s">
        <v>10</v>
      </c>
      <c r="G26" s="20" t="s">
        <v>4</v>
      </c>
      <c r="H26" s="9">
        <v>0</v>
      </c>
      <c r="I26" s="9">
        <v>500000</v>
      </c>
      <c r="J26" s="21"/>
    </row>
    <row r="27" spans="1:10" ht="21" x14ac:dyDescent="0.3">
      <c r="A27" s="6" t="s">
        <v>472</v>
      </c>
      <c r="B27" s="6" t="s">
        <v>740</v>
      </c>
      <c r="C27" s="8" t="s">
        <v>10</v>
      </c>
      <c r="D27" s="7">
        <v>46071</v>
      </c>
      <c r="E27" s="8" t="s">
        <v>10</v>
      </c>
      <c r="F27" s="8" t="s">
        <v>10</v>
      </c>
      <c r="G27" s="20" t="s">
        <v>4</v>
      </c>
      <c r="H27" s="9">
        <v>0</v>
      </c>
      <c r="I27" s="9">
        <v>500000</v>
      </c>
      <c r="J27" s="21"/>
    </row>
    <row r="28" spans="1:10" ht="21" x14ac:dyDescent="0.3">
      <c r="A28" s="6" t="s">
        <v>472</v>
      </c>
      <c r="B28" s="6" t="s">
        <v>740</v>
      </c>
      <c r="C28" s="8" t="s">
        <v>10</v>
      </c>
      <c r="D28" s="7">
        <v>46087</v>
      </c>
      <c r="E28" s="8" t="s">
        <v>10</v>
      </c>
      <c r="F28" s="8" t="s">
        <v>10</v>
      </c>
      <c r="G28" s="20" t="s">
        <v>4</v>
      </c>
      <c r="H28" s="9">
        <v>0</v>
      </c>
      <c r="I28" s="9">
        <v>500000</v>
      </c>
      <c r="J28" s="21"/>
    </row>
    <row r="29" spans="1:10" ht="42" x14ac:dyDescent="0.3">
      <c r="A29" s="6" t="s">
        <v>472</v>
      </c>
      <c r="B29" s="6" t="s">
        <v>740</v>
      </c>
      <c r="C29" s="8" t="s">
        <v>10</v>
      </c>
      <c r="D29" s="7">
        <v>46104</v>
      </c>
      <c r="E29" s="8" t="s">
        <v>10</v>
      </c>
      <c r="F29" s="8" t="s">
        <v>10</v>
      </c>
      <c r="G29" s="20" t="s">
        <v>416</v>
      </c>
      <c r="H29" s="9">
        <v>0</v>
      </c>
      <c r="I29" s="9">
        <v>173000</v>
      </c>
      <c r="J29" s="21"/>
    </row>
    <row r="30" spans="1:10" ht="42" x14ac:dyDescent="0.3">
      <c r="A30" s="6" t="s">
        <v>472</v>
      </c>
      <c r="B30" s="6" t="s">
        <v>740</v>
      </c>
      <c r="C30" s="8" t="s">
        <v>10</v>
      </c>
      <c r="D30" s="7">
        <v>46104</v>
      </c>
      <c r="E30" s="8" t="s">
        <v>10</v>
      </c>
      <c r="F30" s="8" t="s">
        <v>10</v>
      </c>
      <c r="G30" s="20" t="s">
        <v>417</v>
      </c>
      <c r="H30" s="9">
        <v>0</v>
      </c>
      <c r="I30" s="9">
        <v>95000</v>
      </c>
      <c r="J30" s="21"/>
    </row>
    <row r="31" spans="1:10" ht="63" x14ac:dyDescent="0.3">
      <c r="A31" s="6" t="s">
        <v>472</v>
      </c>
      <c r="B31" s="6" t="s">
        <v>740</v>
      </c>
      <c r="C31" s="8" t="s">
        <v>10</v>
      </c>
      <c r="D31" s="7">
        <v>46104</v>
      </c>
      <c r="E31" s="8" t="s">
        <v>10</v>
      </c>
      <c r="F31" s="8" t="s">
        <v>10</v>
      </c>
      <c r="G31" s="20" t="s">
        <v>418</v>
      </c>
      <c r="H31" s="9">
        <v>0</v>
      </c>
      <c r="I31" s="9">
        <v>243790</v>
      </c>
      <c r="J31" s="21"/>
    </row>
    <row r="32" spans="1:10" ht="42" x14ac:dyDescent="0.3">
      <c r="A32" s="6" t="s">
        <v>472</v>
      </c>
      <c r="B32" s="6" t="s">
        <v>740</v>
      </c>
      <c r="C32" s="8" t="s">
        <v>10</v>
      </c>
      <c r="D32" s="7">
        <v>46104</v>
      </c>
      <c r="E32" s="8" t="s">
        <v>10</v>
      </c>
      <c r="F32" s="8" t="s">
        <v>10</v>
      </c>
      <c r="G32" s="20" t="s">
        <v>518</v>
      </c>
      <c r="H32" s="9">
        <v>0</v>
      </c>
      <c r="I32" s="9">
        <v>71000</v>
      </c>
      <c r="J32" s="21"/>
    </row>
    <row r="33" spans="1:10" ht="21" x14ac:dyDescent="0.3">
      <c r="A33" s="6" t="s">
        <v>472</v>
      </c>
      <c r="B33" s="6" t="s">
        <v>740</v>
      </c>
      <c r="C33" s="8" t="s">
        <v>10</v>
      </c>
      <c r="D33" s="7">
        <v>46121</v>
      </c>
      <c r="E33" s="8" t="s">
        <v>10</v>
      </c>
      <c r="F33" s="8" t="s">
        <v>10</v>
      </c>
      <c r="G33" s="20" t="s">
        <v>4</v>
      </c>
      <c r="H33" s="9">
        <v>0</v>
      </c>
      <c r="I33" s="9">
        <v>500000</v>
      </c>
      <c r="J33" s="21"/>
    </row>
    <row r="34" spans="1:10" ht="21" x14ac:dyDescent="0.3">
      <c r="A34" s="6" t="s">
        <v>472</v>
      </c>
      <c r="B34" s="6" t="s">
        <v>740</v>
      </c>
      <c r="C34" s="8" t="s">
        <v>10</v>
      </c>
      <c r="D34" s="7">
        <v>46128</v>
      </c>
      <c r="E34" s="8" t="s">
        <v>10</v>
      </c>
      <c r="F34" s="8" t="s">
        <v>10</v>
      </c>
      <c r="G34" s="20" t="s">
        <v>4</v>
      </c>
      <c r="H34" s="9">
        <v>0</v>
      </c>
      <c r="I34" s="9">
        <v>1000000</v>
      </c>
      <c r="J34" s="21"/>
    </row>
    <row r="35" spans="1:10" ht="21" x14ac:dyDescent="0.3">
      <c r="A35" s="6" t="s">
        <v>472</v>
      </c>
      <c r="B35" s="6" t="s">
        <v>740</v>
      </c>
      <c r="C35" s="8" t="s">
        <v>10</v>
      </c>
      <c r="D35" s="7">
        <v>46141</v>
      </c>
      <c r="E35" s="8" t="s">
        <v>10</v>
      </c>
      <c r="F35" s="8" t="s">
        <v>10</v>
      </c>
      <c r="G35" s="20" t="s">
        <v>605</v>
      </c>
      <c r="H35" s="9">
        <v>0</v>
      </c>
      <c r="I35" s="9">
        <v>210000</v>
      </c>
      <c r="J35" s="21"/>
    </row>
    <row r="36" spans="1:10" ht="21" x14ac:dyDescent="0.3">
      <c r="A36" s="6" t="s">
        <v>472</v>
      </c>
      <c r="B36" s="6" t="s">
        <v>740</v>
      </c>
      <c r="C36" s="8" t="s">
        <v>10</v>
      </c>
      <c r="D36" s="7">
        <v>46142</v>
      </c>
      <c r="E36" s="8" t="s">
        <v>10</v>
      </c>
      <c r="F36" s="8" t="s">
        <v>10</v>
      </c>
      <c r="G36" s="20" t="s">
        <v>4</v>
      </c>
      <c r="H36" s="9">
        <v>0</v>
      </c>
      <c r="I36" s="9">
        <v>500000</v>
      </c>
      <c r="J36" s="21"/>
    </row>
    <row r="37" spans="1:10" ht="21" x14ac:dyDescent="0.3">
      <c r="A37" s="6" t="s">
        <v>472</v>
      </c>
      <c r="B37" s="6" t="s">
        <v>740</v>
      </c>
      <c r="C37" s="8" t="s">
        <v>10</v>
      </c>
      <c r="D37" s="7">
        <v>46156</v>
      </c>
      <c r="E37" s="8" t="s">
        <v>10</v>
      </c>
      <c r="F37" s="8" t="s">
        <v>10</v>
      </c>
      <c r="G37" s="20" t="s">
        <v>4</v>
      </c>
      <c r="H37" s="9">
        <v>0</v>
      </c>
      <c r="I37" s="9">
        <v>500000</v>
      </c>
      <c r="J37" s="21"/>
    </row>
    <row r="38" spans="1:10" ht="21" x14ac:dyDescent="0.3">
      <c r="A38" s="6" t="s">
        <v>472</v>
      </c>
      <c r="B38" s="6" t="s">
        <v>740</v>
      </c>
      <c r="C38" s="6" t="s">
        <v>761</v>
      </c>
      <c r="D38" s="7">
        <v>45798</v>
      </c>
      <c r="E38" s="8" t="s">
        <v>12</v>
      </c>
      <c r="F38" s="8" t="s">
        <v>750</v>
      </c>
      <c r="G38" s="20" t="s">
        <v>11</v>
      </c>
      <c r="H38" s="9">
        <v>0</v>
      </c>
      <c r="I38" s="9">
        <v>0</v>
      </c>
      <c r="J38" s="21"/>
    </row>
    <row r="39" spans="1:10" ht="21" x14ac:dyDescent="0.3">
      <c r="A39" s="6" t="s">
        <v>472</v>
      </c>
      <c r="B39" s="6" t="s">
        <v>740</v>
      </c>
      <c r="C39" s="6" t="s">
        <v>761</v>
      </c>
      <c r="D39" s="7">
        <v>45799</v>
      </c>
      <c r="E39" s="8" t="s">
        <v>12</v>
      </c>
      <c r="F39" s="8" t="s">
        <v>750</v>
      </c>
      <c r="G39" s="20" t="s">
        <v>13</v>
      </c>
      <c r="H39" s="9">
        <v>0</v>
      </c>
      <c r="I39" s="9">
        <v>0</v>
      </c>
      <c r="J39" s="21"/>
    </row>
    <row r="40" spans="1:10" ht="42" x14ac:dyDescent="0.3">
      <c r="A40" s="6" t="s">
        <v>472</v>
      </c>
      <c r="B40" s="6" t="s">
        <v>740</v>
      </c>
      <c r="C40" s="6" t="s">
        <v>761</v>
      </c>
      <c r="D40" s="7">
        <v>45800</v>
      </c>
      <c r="E40" s="8" t="s">
        <v>12</v>
      </c>
      <c r="F40" s="8" t="s">
        <v>750</v>
      </c>
      <c r="G40" s="20" t="s">
        <v>14</v>
      </c>
      <c r="H40" s="9">
        <v>10000</v>
      </c>
      <c r="I40" s="9">
        <v>0</v>
      </c>
      <c r="J40" s="21"/>
    </row>
    <row r="41" spans="1:10" ht="42" x14ac:dyDescent="0.3">
      <c r="A41" s="6" t="s">
        <v>472</v>
      </c>
      <c r="B41" s="6" t="s">
        <v>740</v>
      </c>
      <c r="C41" s="6" t="s">
        <v>761</v>
      </c>
      <c r="D41" s="7">
        <v>45868</v>
      </c>
      <c r="E41" s="8" t="s">
        <v>12</v>
      </c>
      <c r="F41" s="8" t="s">
        <v>750</v>
      </c>
      <c r="G41" s="20" t="s">
        <v>15</v>
      </c>
      <c r="H41" s="9">
        <v>12000</v>
      </c>
      <c r="I41" s="9">
        <v>0</v>
      </c>
      <c r="J41" s="21"/>
    </row>
    <row r="42" spans="1:10" ht="42" x14ac:dyDescent="0.3">
      <c r="A42" s="6" t="s">
        <v>472</v>
      </c>
      <c r="B42" s="6" t="s">
        <v>740</v>
      </c>
      <c r="C42" s="6" t="s">
        <v>761</v>
      </c>
      <c r="D42" s="7">
        <v>45918</v>
      </c>
      <c r="E42" s="8" t="s">
        <v>448</v>
      </c>
      <c r="F42" s="8" t="s">
        <v>485</v>
      </c>
      <c r="G42" s="20" t="s">
        <v>16</v>
      </c>
      <c r="H42" s="9">
        <v>5000</v>
      </c>
      <c r="I42" s="9">
        <v>0</v>
      </c>
      <c r="J42" s="21"/>
    </row>
    <row r="43" spans="1:10" ht="42" x14ac:dyDescent="0.3">
      <c r="A43" s="6" t="s">
        <v>472</v>
      </c>
      <c r="B43" s="6" t="s">
        <v>740</v>
      </c>
      <c r="C43" s="6" t="s">
        <v>761</v>
      </c>
      <c r="D43" s="7">
        <v>45968</v>
      </c>
      <c r="E43" s="8" t="s">
        <v>448</v>
      </c>
      <c r="F43" s="8" t="s">
        <v>485</v>
      </c>
      <c r="G43" s="20" t="s">
        <v>17</v>
      </c>
      <c r="H43" s="9">
        <v>3000</v>
      </c>
      <c r="I43" s="9">
        <v>0</v>
      </c>
      <c r="J43" s="21"/>
    </row>
    <row r="44" spans="1:10" ht="42" x14ac:dyDescent="0.3">
      <c r="A44" s="6" t="s">
        <v>472</v>
      </c>
      <c r="B44" s="6" t="s">
        <v>740</v>
      </c>
      <c r="C44" s="6" t="s">
        <v>761</v>
      </c>
      <c r="D44" s="7">
        <v>45960</v>
      </c>
      <c r="E44" s="8" t="s">
        <v>12</v>
      </c>
      <c r="F44" s="8" t="s">
        <v>750</v>
      </c>
      <c r="G44" s="20" t="s">
        <v>18</v>
      </c>
      <c r="H44" s="9">
        <v>10125</v>
      </c>
      <c r="I44" s="9">
        <v>0</v>
      </c>
      <c r="J44" s="21"/>
    </row>
    <row r="45" spans="1:10" ht="63" x14ac:dyDescent="0.3">
      <c r="A45" s="6" t="s">
        <v>472</v>
      </c>
      <c r="B45" s="6" t="s">
        <v>740</v>
      </c>
      <c r="C45" s="6" t="s">
        <v>761</v>
      </c>
      <c r="D45" s="7">
        <v>45961</v>
      </c>
      <c r="E45" s="8" t="s">
        <v>12</v>
      </c>
      <c r="F45" s="8" t="s">
        <v>750</v>
      </c>
      <c r="G45" s="20" t="s">
        <v>447</v>
      </c>
      <c r="H45" s="9">
        <v>24000</v>
      </c>
      <c r="I45" s="9">
        <v>0</v>
      </c>
      <c r="J45" s="21"/>
    </row>
    <row r="46" spans="1:10" ht="42" x14ac:dyDescent="0.3">
      <c r="A46" s="6" t="s">
        <v>472</v>
      </c>
      <c r="B46" s="6" t="s">
        <v>740</v>
      </c>
      <c r="C46" s="6" t="s">
        <v>761</v>
      </c>
      <c r="D46" s="7">
        <v>45767</v>
      </c>
      <c r="E46" s="8" t="s">
        <v>591</v>
      </c>
      <c r="F46" s="8" t="s">
        <v>751</v>
      </c>
      <c r="G46" s="20" t="s">
        <v>19</v>
      </c>
      <c r="H46" s="9">
        <v>1000</v>
      </c>
      <c r="I46" s="9">
        <v>0</v>
      </c>
      <c r="J46" s="21"/>
    </row>
    <row r="47" spans="1:10" ht="21" x14ac:dyDescent="0.3">
      <c r="A47" s="6" t="s">
        <v>472</v>
      </c>
      <c r="B47" s="6" t="s">
        <v>740</v>
      </c>
      <c r="C47" s="6" t="s">
        <v>761</v>
      </c>
      <c r="D47" s="7">
        <v>45770</v>
      </c>
      <c r="E47" s="8" t="s">
        <v>591</v>
      </c>
      <c r="F47" s="8" t="s">
        <v>751</v>
      </c>
      <c r="G47" s="20" t="s">
        <v>20</v>
      </c>
      <c r="H47" s="9">
        <v>3000</v>
      </c>
      <c r="I47" s="9">
        <v>0</v>
      </c>
      <c r="J47" s="21"/>
    </row>
    <row r="48" spans="1:10" ht="21" x14ac:dyDescent="0.3">
      <c r="A48" s="6" t="s">
        <v>472</v>
      </c>
      <c r="B48" s="6" t="s">
        <v>740</v>
      </c>
      <c r="C48" s="6" t="s">
        <v>761</v>
      </c>
      <c r="D48" s="7">
        <v>45778</v>
      </c>
      <c r="E48" s="8" t="s">
        <v>591</v>
      </c>
      <c r="F48" s="8" t="s">
        <v>751</v>
      </c>
      <c r="G48" s="20" t="s">
        <v>21</v>
      </c>
      <c r="H48" s="9">
        <v>600</v>
      </c>
      <c r="I48" s="9">
        <v>0</v>
      </c>
      <c r="J48" s="21"/>
    </row>
    <row r="49" spans="1:10" ht="21" x14ac:dyDescent="0.3">
      <c r="A49" s="6" t="s">
        <v>472</v>
      </c>
      <c r="B49" s="6" t="s">
        <v>740</v>
      </c>
      <c r="C49" s="6" t="s">
        <v>761</v>
      </c>
      <c r="D49" s="7">
        <v>45778</v>
      </c>
      <c r="E49" s="8" t="s">
        <v>591</v>
      </c>
      <c r="F49" s="8" t="s">
        <v>25</v>
      </c>
      <c r="G49" s="20" t="s">
        <v>30</v>
      </c>
      <c r="H49" s="9">
        <v>400</v>
      </c>
      <c r="I49" s="9">
        <v>0</v>
      </c>
      <c r="J49" s="21"/>
    </row>
    <row r="50" spans="1:10" ht="42" x14ac:dyDescent="0.3">
      <c r="A50" s="6" t="s">
        <v>472</v>
      </c>
      <c r="B50" s="6" t="s">
        <v>740</v>
      </c>
      <c r="C50" s="6" t="s">
        <v>761</v>
      </c>
      <c r="D50" s="7">
        <v>45779</v>
      </c>
      <c r="E50" s="8" t="s">
        <v>591</v>
      </c>
      <c r="F50" s="8" t="s">
        <v>635</v>
      </c>
      <c r="G50" s="20" t="s">
        <v>31</v>
      </c>
      <c r="H50" s="9">
        <v>600</v>
      </c>
      <c r="I50" s="9">
        <v>0</v>
      </c>
      <c r="J50" s="21"/>
    </row>
    <row r="51" spans="1:10" ht="21" x14ac:dyDescent="0.3">
      <c r="A51" s="6" t="s">
        <v>472</v>
      </c>
      <c r="B51" s="6" t="s">
        <v>740</v>
      </c>
      <c r="C51" s="6" t="s">
        <v>761</v>
      </c>
      <c r="D51" s="7">
        <v>45786</v>
      </c>
      <c r="E51" s="8" t="s">
        <v>591</v>
      </c>
      <c r="F51" s="8" t="s">
        <v>25</v>
      </c>
      <c r="G51" s="20" t="s">
        <v>33</v>
      </c>
      <c r="H51" s="9">
        <v>400</v>
      </c>
      <c r="I51" s="9">
        <v>0</v>
      </c>
      <c r="J51" s="21"/>
    </row>
    <row r="52" spans="1:10" ht="21" x14ac:dyDescent="0.3">
      <c r="A52" s="6" t="s">
        <v>472</v>
      </c>
      <c r="B52" s="6" t="s">
        <v>740</v>
      </c>
      <c r="C52" s="6" t="s">
        <v>761</v>
      </c>
      <c r="D52" s="7">
        <v>45792</v>
      </c>
      <c r="E52" s="8" t="s">
        <v>591</v>
      </c>
      <c r="F52" s="8" t="s">
        <v>478</v>
      </c>
      <c r="G52" s="20" t="s">
        <v>477</v>
      </c>
      <c r="H52" s="9">
        <v>200000</v>
      </c>
      <c r="I52" s="9">
        <v>0</v>
      </c>
      <c r="J52" s="21"/>
    </row>
    <row r="53" spans="1:10" ht="21" x14ac:dyDescent="0.3">
      <c r="A53" s="6" t="s">
        <v>472</v>
      </c>
      <c r="B53" s="6" t="s">
        <v>740</v>
      </c>
      <c r="C53" s="6" t="s">
        <v>761</v>
      </c>
      <c r="D53" s="7">
        <v>45794</v>
      </c>
      <c r="E53" s="8" t="s">
        <v>591</v>
      </c>
      <c r="F53" s="8" t="s">
        <v>727</v>
      </c>
      <c r="G53" s="20" t="s">
        <v>36</v>
      </c>
      <c r="H53" s="9">
        <v>6600</v>
      </c>
      <c r="I53" s="9">
        <v>0</v>
      </c>
      <c r="J53" s="21"/>
    </row>
    <row r="54" spans="1:10" ht="21" x14ac:dyDescent="0.3">
      <c r="A54" s="6" t="s">
        <v>472</v>
      </c>
      <c r="B54" s="6" t="s">
        <v>740</v>
      </c>
      <c r="C54" s="6" t="s">
        <v>761</v>
      </c>
      <c r="D54" s="7">
        <v>45794</v>
      </c>
      <c r="E54" s="8" t="s">
        <v>591</v>
      </c>
      <c r="F54" s="8" t="s">
        <v>727</v>
      </c>
      <c r="G54" s="20" t="s">
        <v>37</v>
      </c>
      <c r="H54" s="9">
        <v>700</v>
      </c>
      <c r="I54" s="9">
        <v>0</v>
      </c>
      <c r="J54" s="21"/>
    </row>
    <row r="55" spans="1:10" ht="63" x14ac:dyDescent="0.3">
      <c r="A55" s="6" t="s">
        <v>472</v>
      </c>
      <c r="B55" s="6" t="s">
        <v>740</v>
      </c>
      <c r="C55" s="6" t="s">
        <v>761</v>
      </c>
      <c r="D55" s="7">
        <v>45796</v>
      </c>
      <c r="E55" s="8" t="s">
        <v>591</v>
      </c>
      <c r="F55" s="8" t="s">
        <v>727</v>
      </c>
      <c r="G55" s="20" t="s">
        <v>38</v>
      </c>
      <c r="H55" s="9">
        <v>15000</v>
      </c>
      <c r="I55" s="9">
        <v>0</v>
      </c>
      <c r="J55" s="21"/>
    </row>
    <row r="56" spans="1:10" ht="21" x14ac:dyDescent="0.3">
      <c r="A56" s="6" t="s">
        <v>472</v>
      </c>
      <c r="B56" s="6" t="s">
        <v>740</v>
      </c>
      <c r="C56" s="6" t="s">
        <v>761</v>
      </c>
      <c r="D56" s="7">
        <v>45805</v>
      </c>
      <c r="E56" s="8" t="s">
        <v>591</v>
      </c>
      <c r="F56" s="8" t="s">
        <v>727</v>
      </c>
      <c r="G56" s="20" t="s">
        <v>32</v>
      </c>
      <c r="H56" s="9">
        <v>4000</v>
      </c>
      <c r="I56" s="9">
        <v>0</v>
      </c>
      <c r="J56" s="21"/>
    </row>
    <row r="57" spans="1:10" ht="21" x14ac:dyDescent="0.3">
      <c r="A57" s="6" t="s">
        <v>472</v>
      </c>
      <c r="B57" s="6" t="s">
        <v>740</v>
      </c>
      <c r="C57" s="6" t="s">
        <v>761</v>
      </c>
      <c r="D57" s="7">
        <v>45805</v>
      </c>
      <c r="E57" s="8" t="s">
        <v>591</v>
      </c>
      <c r="F57" s="8" t="s">
        <v>727</v>
      </c>
      <c r="G57" s="20" t="s">
        <v>39</v>
      </c>
      <c r="H57" s="9">
        <v>1500</v>
      </c>
      <c r="I57" s="9">
        <v>0</v>
      </c>
      <c r="J57" s="21"/>
    </row>
    <row r="58" spans="1:10" ht="21" x14ac:dyDescent="0.3">
      <c r="A58" s="6" t="s">
        <v>472</v>
      </c>
      <c r="B58" s="6" t="s">
        <v>740</v>
      </c>
      <c r="C58" s="6" t="s">
        <v>761</v>
      </c>
      <c r="D58" s="7">
        <v>45805</v>
      </c>
      <c r="E58" s="8" t="s">
        <v>591</v>
      </c>
      <c r="F58" s="8" t="s">
        <v>727</v>
      </c>
      <c r="G58" s="20" t="s">
        <v>40</v>
      </c>
      <c r="H58" s="9">
        <v>3500</v>
      </c>
      <c r="I58" s="9">
        <v>0</v>
      </c>
      <c r="J58" s="21"/>
    </row>
    <row r="59" spans="1:10" ht="21" x14ac:dyDescent="0.3">
      <c r="A59" s="6" t="s">
        <v>472</v>
      </c>
      <c r="B59" s="6" t="s">
        <v>740</v>
      </c>
      <c r="C59" s="6" t="s">
        <v>761</v>
      </c>
      <c r="D59" s="7">
        <v>45805</v>
      </c>
      <c r="E59" s="8" t="s">
        <v>591</v>
      </c>
      <c r="F59" s="8" t="s">
        <v>727</v>
      </c>
      <c r="G59" s="20" t="s">
        <v>41</v>
      </c>
      <c r="H59" s="9">
        <v>800</v>
      </c>
      <c r="I59" s="9">
        <v>0</v>
      </c>
      <c r="J59" s="21"/>
    </row>
    <row r="60" spans="1:10" ht="21" x14ac:dyDescent="0.3">
      <c r="A60" s="6" t="s">
        <v>472</v>
      </c>
      <c r="B60" s="6" t="s">
        <v>740</v>
      </c>
      <c r="C60" s="6" t="s">
        <v>761</v>
      </c>
      <c r="D60" s="7">
        <v>45810</v>
      </c>
      <c r="E60" s="8" t="s">
        <v>591</v>
      </c>
      <c r="F60" s="8" t="s">
        <v>727</v>
      </c>
      <c r="G60" s="20" t="s">
        <v>42</v>
      </c>
      <c r="H60" s="9">
        <v>10350</v>
      </c>
      <c r="I60" s="9">
        <v>0</v>
      </c>
      <c r="J60" s="21"/>
    </row>
    <row r="61" spans="1:10" ht="21" x14ac:dyDescent="0.3">
      <c r="A61" s="6" t="s">
        <v>472</v>
      </c>
      <c r="B61" s="6" t="s">
        <v>740</v>
      </c>
      <c r="C61" s="6" t="s">
        <v>761</v>
      </c>
      <c r="D61" s="7">
        <v>45810</v>
      </c>
      <c r="E61" s="8" t="s">
        <v>591</v>
      </c>
      <c r="F61" s="8" t="s">
        <v>727</v>
      </c>
      <c r="G61" s="20" t="s">
        <v>43</v>
      </c>
      <c r="H61" s="9">
        <v>30000</v>
      </c>
      <c r="I61" s="9">
        <v>0</v>
      </c>
      <c r="J61" s="21"/>
    </row>
    <row r="62" spans="1:10" ht="21" x14ac:dyDescent="0.3">
      <c r="A62" s="6" t="s">
        <v>472</v>
      </c>
      <c r="B62" s="6" t="s">
        <v>740</v>
      </c>
      <c r="C62" s="6" t="s">
        <v>761</v>
      </c>
      <c r="D62" s="7">
        <v>45810</v>
      </c>
      <c r="E62" s="8" t="s">
        <v>591</v>
      </c>
      <c r="F62" s="8" t="s">
        <v>635</v>
      </c>
      <c r="G62" s="20" t="s">
        <v>44</v>
      </c>
      <c r="H62" s="9">
        <v>100000</v>
      </c>
      <c r="I62" s="9">
        <v>0</v>
      </c>
      <c r="J62" s="21"/>
    </row>
    <row r="63" spans="1:10" ht="42" x14ac:dyDescent="0.3">
      <c r="A63" s="6" t="s">
        <v>472</v>
      </c>
      <c r="B63" s="6" t="s">
        <v>740</v>
      </c>
      <c r="C63" s="6" t="s">
        <v>761</v>
      </c>
      <c r="D63" s="7">
        <v>45812</v>
      </c>
      <c r="E63" s="8" t="s">
        <v>591</v>
      </c>
      <c r="F63" s="8" t="s">
        <v>727</v>
      </c>
      <c r="G63" s="20" t="s">
        <v>45</v>
      </c>
      <c r="H63" s="9">
        <v>8000</v>
      </c>
      <c r="I63" s="9">
        <v>0</v>
      </c>
      <c r="J63" s="21"/>
    </row>
    <row r="64" spans="1:10" ht="21" x14ac:dyDescent="0.3">
      <c r="A64" s="6" t="s">
        <v>472</v>
      </c>
      <c r="B64" s="6" t="s">
        <v>740</v>
      </c>
      <c r="C64" s="6" t="s">
        <v>761</v>
      </c>
      <c r="D64" s="7">
        <v>45812</v>
      </c>
      <c r="E64" s="8" t="s">
        <v>591</v>
      </c>
      <c r="F64" s="8" t="s">
        <v>727</v>
      </c>
      <c r="G64" s="20" t="s">
        <v>46</v>
      </c>
      <c r="H64" s="9">
        <v>2100</v>
      </c>
      <c r="I64" s="9">
        <v>0</v>
      </c>
      <c r="J64" s="21"/>
    </row>
    <row r="65" spans="1:10" ht="21" x14ac:dyDescent="0.3">
      <c r="A65" s="6" t="s">
        <v>472</v>
      </c>
      <c r="B65" s="6" t="s">
        <v>740</v>
      </c>
      <c r="C65" s="6" t="s">
        <v>761</v>
      </c>
      <c r="D65" s="7">
        <v>45812</v>
      </c>
      <c r="E65" s="8" t="s">
        <v>591</v>
      </c>
      <c r="F65" s="8" t="s">
        <v>635</v>
      </c>
      <c r="G65" s="20" t="s">
        <v>47</v>
      </c>
      <c r="H65" s="9">
        <v>1500</v>
      </c>
      <c r="I65" s="9">
        <v>0</v>
      </c>
      <c r="J65" s="21"/>
    </row>
    <row r="66" spans="1:10" ht="21" x14ac:dyDescent="0.3">
      <c r="A66" s="6" t="s">
        <v>472</v>
      </c>
      <c r="B66" s="6" t="s">
        <v>740</v>
      </c>
      <c r="C66" s="6" t="s">
        <v>761</v>
      </c>
      <c r="D66" s="7">
        <v>45812</v>
      </c>
      <c r="E66" s="8" t="s">
        <v>591</v>
      </c>
      <c r="F66" s="8" t="s">
        <v>727</v>
      </c>
      <c r="G66" s="20" t="s">
        <v>48</v>
      </c>
      <c r="H66" s="9">
        <v>8500</v>
      </c>
      <c r="I66" s="9">
        <v>0</v>
      </c>
      <c r="J66" s="21"/>
    </row>
    <row r="67" spans="1:10" ht="21" x14ac:dyDescent="0.3">
      <c r="A67" s="6" t="s">
        <v>472</v>
      </c>
      <c r="B67" s="6" t="s">
        <v>740</v>
      </c>
      <c r="C67" s="6" t="s">
        <v>761</v>
      </c>
      <c r="D67" s="7">
        <v>45812</v>
      </c>
      <c r="E67" s="8" t="s">
        <v>591</v>
      </c>
      <c r="F67" s="8" t="s">
        <v>50</v>
      </c>
      <c r="G67" s="20" t="s">
        <v>49</v>
      </c>
      <c r="H67" s="9">
        <v>6000</v>
      </c>
      <c r="I67" s="9">
        <v>0</v>
      </c>
      <c r="J67" s="21"/>
    </row>
    <row r="68" spans="1:10" ht="21" x14ac:dyDescent="0.3">
      <c r="A68" s="6" t="s">
        <v>472</v>
      </c>
      <c r="B68" s="6" t="s">
        <v>740</v>
      </c>
      <c r="C68" s="6" t="s">
        <v>761</v>
      </c>
      <c r="D68" s="7">
        <v>45821</v>
      </c>
      <c r="E68" s="8" t="s">
        <v>591</v>
      </c>
      <c r="F68" s="8" t="s">
        <v>635</v>
      </c>
      <c r="G68" s="20" t="s">
        <v>51</v>
      </c>
      <c r="H68" s="9">
        <v>50000</v>
      </c>
      <c r="I68" s="9">
        <v>0</v>
      </c>
      <c r="J68" s="21"/>
    </row>
    <row r="69" spans="1:10" ht="21" x14ac:dyDescent="0.3">
      <c r="A69" s="6" t="s">
        <v>472</v>
      </c>
      <c r="B69" s="6" t="s">
        <v>740</v>
      </c>
      <c r="C69" s="6" t="s">
        <v>761</v>
      </c>
      <c r="D69" s="7">
        <v>45821</v>
      </c>
      <c r="E69" s="8" t="s">
        <v>591</v>
      </c>
      <c r="F69" s="8" t="s">
        <v>727</v>
      </c>
      <c r="G69" s="20" t="s">
        <v>52</v>
      </c>
      <c r="H69" s="9">
        <v>6565</v>
      </c>
      <c r="I69" s="9">
        <v>0</v>
      </c>
      <c r="J69" s="21"/>
    </row>
    <row r="70" spans="1:10" ht="21" x14ac:dyDescent="0.3">
      <c r="A70" s="6" t="s">
        <v>472</v>
      </c>
      <c r="B70" s="6" t="s">
        <v>740</v>
      </c>
      <c r="C70" s="6" t="s">
        <v>761</v>
      </c>
      <c r="D70" s="7">
        <v>45821</v>
      </c>
      <c r="E70" s="8" t="s">
        <v>591</v>
      </c>
      <c r="F70" s="8" t="s">
        <v>653</v>
      </c>
      <c r="G70" s="20" t="s">
        <v>53</v>
      </c>
      <c r="H70" s="9">
        <v>1500</v>
      </c>
      <c r="I70" s="9">
        <v>0</v>
      </c>
      <c r="J70" s="21"/>
    </row>
    <row r="71" spans="1:10" ht="21" x14ac:dyDescent="0.3">
      <c r="A71" s="6" t="s">
        <v>472</v>
      </c>
      <c r="B71" s="6" t="s">
        <v>740</v>
      </c>
      <c r="C71" s="6" t="s">
        <v>761</v>
      </c>
      <c r="D71" s="7">
        <v>45821</v>
      </c>
      <c r="E71" s="8" t="s">
        <v>591</v>
      </c>
      <c r="F71" s="8" t="s">
        <v>653</v>
      </c>
      <c r="G71" s="20" t="s">
        <v>54</v>
      </c>
      <c r="H71" s="9">
        <v>4100</v>
      </c>
      <c r="I71" s="9">
        <v>0</v>
      </c>
      <c r="J71" s="21"/>
    </row>
    <row r="72" spans="1:10" ht="21" x14ac:dyDescent="0.3">
      <c r="A72" s="6" t="s">
        <v>472</v>
      </c>
      <c r="B72" s="6" t="s">
        <v>740</v>
      </c>
      <c r="C72" s="6" t="s">
        <v>761</v>
      </c>
      <c r="D72" s="7">
        <v>45821</v>
      </c>
      <c r="E72" s="8" t="s">
        <v>591</v>
      </c>
      <c r="F72" s="8" t="s">
        <v>653</v>
      </c>
      <c r="G72" s="20" t="s">
        <v>55</v>
      </c>
      <c r="H72" s="9">
        <v>1050</v>
      </c>
      <c r="I72" s="9">
        <v>0</v>
      </c>
      <c r="J72" s="21"/>
    </row>
    <row r="73" spans="1:10" ht="21" x14ac:dyDescent="0.3">
      <c r="A73" s="6" t="s">
        <v>472</v>
      </c>
      <c r="B73" s="6" t="s">
        <v>740</v>
      </c>
      <c r="C73" s="6" t="s">
        <v>761</v>
      </c>
      <c r="D73" s="7">
        <v>45821</v>
      </c>
      <c r="E73" s="8" t="s">
        <v>591</v>
      </c>
      <c r="F73" s="8" t="s">
        <v>50</v>
      </c>
      <c r="G73" s="20" t="s">
        <v>56</v>
      </c>
      <c r="H73" s="9">
        <v>6000</v>
      </c>
      <c r="I73" s="9">
        <v>0</v>
      </c>
      <c r="J73" s="21"/>
    </row>
    <row r="74" spans="1:10" ht="21" x14ac:dyDescent="0.3">
      <c r="A74" s="6" t="s">
        <v>472</v>
      </c>
      <c r="B74" s="6" t="s">
        <v>740</v>
      </c>
      <c r="C74" s="6" t="s">
        <v>761</v>
      </c>
      <c r="D74" s="7">
        <v>45823</v>
      </c>
      <c r="E74" s="8" t="s">
        <v>591</v>
      </c>
      <c r="F74" s="8" t="s">
        <v>727</v>
      </c>
      <c r="G74" s="20" t="s">
        <v>57</v>
      </c>
      <c r="H74" s="9">
        <v>2500</v>
      </c>
      <c r="I74" s="9">
        <v>0</v>
      </c>
      <c r="J74" s="21"/>
    </row>
    <row r="75" spans="1:10" ht="21" x14ac:dyDescent="0.3">
      <c r="A75" s="6" t="s">
        <v>472</v>
      </c>
      <c r="B75" s="6" t="s">
        <v>740</v>
      </c>
      <c r="C75" s="6" t="s">
        <v>761</v>
      </c>
      <c r="D75" s="7">
        <v>45823</v>
      </c>
      <c r="E75" s="8" t="s">
        <v>591</v>
      </c>
      <c r="F75" s="8" t="s">
        <v>59</v>
      </c>
      <c r="G75" s="20" t="s">
        <v>58</v>
      </c>
      <c r="H75" s="9">
        <v>13130</v>
      </c>
      <c r="I75" s="9">
        <v>0</v>
      </c>
      <c r="J75" s="21"/>
    </row>
    <row r="76" spans="1:10" ht="21" x14ac:dyDescent="0.3">
      <c r="A76" s="6" t="s">
        <v>472</v>
      </c>
      <c r="B76" s="6" t="s">
        <v>740</v>
      </c>
      <c r="C76" s="6" t="s">
        <v>761</v>
      </c>
      <c r="D76" s="7">
        <v>45823</v>
      </c>
      <c r="E76" s="8" t="s">
        <v>591</v>
      </c>
      <c r="F76" s="8" t="s">
        <v>59</v>
      </c>
      <c r="G76" s="20" t="s">
        <v>60</v>
      </c>
      <c r="H76" s="9">
        <v>2100</v>
      </c>
      <c r="I76" s="9">
        <v>0</v>
      </c>
      <c r="J76" s="21"/>
    </row>
    <row r="77" spans="1:10" ht="21" x14ac:dyDescent="0.3">
      <c r="A77" s="6" t="s">
        <v>472</v>
      </c>
      <c r="B77" s="6" t="s">
        <v>740</v>
      </c>
      <c r="C77" s="6" t="s">
        <v>761</v>
      </c>
      <c r="D77" s="7">
        <v>45823</v>
      </c>
      <c r="E77" s="8" t="s">
        <v>591</v>
      </c>
      <c r="F77" s="8" t="s">
        <v>59</v>
      </c>
      <c r="G77" s="20" t="s">
        <v>61</v>
      </c>
      <c r="H77" s="9">
        <v>200</v>
      </c>
      <c r="I77" s="9">
        <v>0</v>
      </c>
      <c r="J77" s="21"/>
    </row>
    <row r="78" spans="1:10" ht="21" x14ac:dyDescent="0.3">
      <c r="A78" s="6" t="s">
        <v>472</v>
      </c>
      <c r="B78" s="6" t="s">
        <v>740</v>
      </c>
      <c r="C78" s="6" t="s">
        <v>761</v>
      </c>
      <c r="D78" s="7">
        <v>45829</v>
      </c>
      <c r="E78" s="8" t="s">
        <v>591</v>
      </c>
      <c r="F78" s="8" t="s">
        <v>50</v>
      </c>
      <c r="G78" s="20" t="s">
        <v>62</v>
      </c>
      <c r="H78" s="9">
        <v>6000</v>
      </c>
      <c r="I78" s="9">
        <v>0</v>
      </c>
      <c r="J78" s="21"/>
    </row>
    <row r="79" spans="1:10" ht="42" x14ac:dyDescent="0.3">
      <c r="A79" s="6" t="s">
        <v>472</v>
      </c>
      <c r="B79" s="6" t="s">
        <v>740</v>
      </c>
      <c r="C79" s="6" t="s">
        <v>761</v>
      </c>
      <c r="D79" s="7">
        <v>45829</v>
      </c>
      <c r="E79" s="8" t="s">
        <v>591</v>
      </c>
      <c r="F79" s="8" t="s">
        <v>635</v>
      </c>
      <c r="G79" s="20" t="s">
        <v>63</v>
      </c>
      <c r="H79" s="9">
        <v>4250</v>
      </c>
      <c r="I79" s="9">
        <v>0</v>
      </c>
      <c r="J79" s="21"/>
    </row>
    <row r="80" spans="1:10" ht="21" x14ac:dyDescent="0.3">
      <c r="A80" s="6" t="s">
        <v>472</v>
      </c>
      <c r="B80" s="6" t="s">
        <v>740</v>
      </c>
      <c r="C80" s="6" t="s">
        <v>761</v>
      </c>
      <c r="D80" s="7">
        <v>45836</v>
      </c>
      <c r="E80" s="8" t="s">
        <v>591</v>
      </c>
      <c r="F80" s="8" t="s">
        <v>727</v>
      </c>
      <c r="G80" s="20" t="s">
        <v>64</v>
      </c>
      <c r="H80" s="9">
        <v>7250</v>
      </c>
      <c r="I80" s="9">
        <v>0</v>
      </c>
      <c r="J80" s="21"/>
    </row>
    <row r="81" spans="1:10" ht="21" x14ac:dyDescent="0.3">
      <c r="A81" s="6" t="s">
        <v>472</v>
      </c>
      <c r="B81" s="6" t="s">
        <v>740</v>
      </c>
      <c r="C81" s="6" t="s">
        <v>761</v>
      </c>
      <c r="D81" s="7">
        <v>45837</v>
      </c>
      <c r="E81" s="8" t="s">
        <v>591</v>
      </c>
      <c r="F81" s="8" t="s">
        <v>727</v>
      </c>
      <c r="G81" s="20" t="s">
        <v>65</v>
      </c>
      <c r="H81" s="9">
        <v>1500</v>
      </c>
      <c r="I81" s="9">
        <v>0</v>
      </c>
      <c r="J81" s="21"/>
    </row>
    <row r="82" spans="1:10" ht="42" x14ac:dyDescent="0.3">
      <c r="A82" s="6" t="s">
        <v>472</v>
      </c>
      <c r="B82" s="6" t="s">
        <v>740</v>
      </c>
      <c r="C82" s="6" t="s">
        <v>761</v>
      </c>
      <c r="D82" s="7">
        <v>45838</v>
      </c>
      <c r="E82" s="8" t="s">
        <v>591</v>
      </c>
      <c r="F82" s="8" t="s">
        <v>727</v>
      </c>
      <c r="G82" s="20" t="s">
        <v>66</v>
      </c>
      <c r="H82" s="9">
        <v>2800</v>
      </c>
      <c r="I82" s="9">
        <v>0</v>
      </c>
      <c r="J82" s="21"/>
    </row>
    <row r="83" spans="1:10" ht="21" x14ac:dyDescent="0.3">
      <c r="A83" s="6" t="s">
        <v>472</v>
      </c>
      <c r="B83" s="6" t="s">
        <v>740</v>
      </c>
      <c r="C83" s="6" t="s">
        <v>761</v>
      </c>
      <c r="D83" s="7">
        <v>45839</v>
      </c>
      <c r="E83" s="8" t="s">
        <v>591</v>
      </c>
      <c r="F83" s="8" t="s">
        <v>50</v>
      </c>
      <c r="G83" s="20" t="s">
        <v>67</v>
      </c>
      <c r="H83" s="9">
        <v>6000</v>
      </c>
      <c r="I83" s="9">
        <v>0</v>
      </c>
      <c r="J83" s="21"/>
    </row>
    <row r="84" spans="1:10" ht="21" x14ac:dyDescent="0.3">
      <c r="A84" s="6" t="s">
        <v>472</v>
      </c>
      <c r="B84" s="6" t="s">
        <v>740</v>
      </c>
      <c r="C84" s="6" t="s">
        <v>761</v>
      </c>
      <c r="D84" s="7">
        <v>45840</v>
      </c>
      <c r="E84" s="8" t="s">
        <v>591</v>
      </c>
      <c r="F84" s="8" t="s">
        <v>727</v>
      </c>
      <c r="G84" s="20" t="s">
        <v>68</v>
      </c>
      <c r="H84" s="9">
        <v>21800</v>
      </c>
      <c r="I84" s="9">
        <v>0</v>
      </c>
      <c r="J84" s="21"/>
    </row>
    <row r="85" spans="1:10" ht="21" x14ac:dyDescent="0.3">
      <c r="A85" s="6" t="s">
        <v>472</v>
      </c>
      <c r="B85" s="6" t="s">
        <v>740</v>
      </c>
      <c r="C85" s="6" t="s">
        <v>761</v>
      </c>
      <c r="D85" s="7">
        <v>45840</v>
      </c>
      <c r="E85" s="8" t="s">
        <v>591</v>
      </c>
      <c r="F85" s="8" t="s">
        <v>727</v>
      </c>
      <c r="G85" s="20" t="s">
        <v>69</v>
      </c>
      <c r="H85" s="9">
        <v>4500</v>
      </c>
      <c r="I85" s="9">
        <v>0</v>
      </c>
      <c r="J85" s="21"/>
    </row>
    <row r="86" spans="1:10" ht="21" x14ac:dyDescent="0.3">
      <c r="A86" s="6" t="s">
        <v>472</v>
      </c>
      <c r="B86" s="6" t="s">
        <v>740</v>
      </c>
      <c r="C86" s="6" t="s">
        <v>761</v>
      </c>
      <c r="D86" s="7">
        <v>45840</v>
      </c>
      <c r="E86" s="8" t="s">
        <v>591</v>
      </c>
      <c r="F86" s="8" t="s">
        <v>727</v>
      </c>
      <c r="G86" s="20" t="s">
        <v>70</v>
      </c>
      <c r="H86" s="9">
        <v>1050</v>
      </c>
      <c r="I86" s="9">
        <v>0</v>
      </c>
      <c r="J86" s="21"/>
    </row>
    <row r="87" spans="1:10" ht="42" x14ac:dyDescent="0.3">
      <c r="A87" s="6" t="s">
        <v>472</v>
      </c>
      <c r="B87" s="6" t="s">
        <v>740</v>
      </c>
      <c r="C87" s="6" t="s">
        <v>761</v>
      </c>
      <c r="D87" s="7">
        <v>45840</v>
      </c>
      <c r="E87" s="8" t="s">
        <v>591</v>
      </c>
      <c r="F87" s="8" t="s">
        <v>727</v>
      </c>
      <c r="G87" s="20" t="s">
        <v>71</v>
      </c>
      <c r="H87" s="9">
        <v>1050</v>
      </c>
      <c r="I87" s="9">
        <v>0</v>
      </c>
      <c r="J87" s="21"/>
    </row>
    <row r="88" spans="1:10" ht="42" x14ac:dyDescent="0.3">
      <c r="A88" s="6" t="s">
        <v>472</v>
      </c>
      <c r="B88" s="6" t="s">
        <v>740</v>
      </c>
      <c r="C88" s="6" t="s">
        <v>761</v>
      </c>
      <c r="D88" s="7">
        <v>45845</v>
      </c>
      <c r="E88" s="8" t="s">
        <v>591</v>
      </c>
      <c r="F88" s="8" t="s">
        <v>727</v>
      </c>
      <c r="G88" s="20" t="s">
        <v>72</v>
      </c>
      <c r="H88" s="9">
        <v>20000</v>
      </c>
      <c r="I88" s="9">
        <v>0</v>
      </c>
      <c r="J88" s="21"/>
    </row>
    <row r="89" spans="1:10" ht="21" x14ac:dyDescent="0.3">
      <c r="A89" s="6" t="s">
        <v>472</v>
      </c>
      <c r="B89" s="6" t="s">
        <v>740</v>
      </c>
      <c r="C89" s="6" t="s">
        <v>761</v>
      </c>
      <c r="D89" s="7">
        <v>45845</v>
      </c>
      <c r="E89" s="8" t="s">
        <v>591</v>
      </c>
      <c r="F89" s="8" t="s">
        <v>465</v>
      </c>
      <c r="G89" s="20" t="s">
        <v>73</v>
      </c>
      <c r="H89" s="9">
        <v>1200</v>
      </c>
      <c r="I89" s="9">
        <v>0</v>
      </c>
      <c r="J89" s="21"/>
    </row>
    <row r="90" spans="1:10" ht="42" x14ac:dyDescent="0.3">
      <c r="A90" s="6" t="s">
        <v>472</v>
      </c>
      <c r="B90" s="6" t="s">
        <v>740</v>
      </c>
      <c r="C90" s="6" t="s">
        <v>761</v>
      </c>
      <c r="D90" s="7">
        <v>45845</v>
      </c>
      <c r="E90" s="8" t="s">
        <v>591</v>
      </c>
      <c r="F90" s="8" t="s">
        <v>653</v>
      </c>
      <c r="G90" s="20" t="s">
        <v>74</v>
      </c>
      <c r="H90" s="9">
        <v>5050</v>
      </c>
      <c r="I90" s="9">
        <v>0</v>
      </c>
      <c r="J90" s="21"/>
    </row>
    <row r="91" spans="1:10" ht="21" x14ac:dyDescent="0.3">
      <c r="A91" s="6" t="s">
        <v>472</v>
      </c>
      <c r="B91" s="6" t="s">
        <v>740</v>
      </c>
      <c r="C91" s="6" t="s">
        <v>761</v>
      </c>
      <c r="D91" s="7">
        <v>45845</v>
      </c>
      <c r="E91" s="8" t="s">
        <v>591</v>
      </c>
      <c r="F91" s="8" t="s">
        <v>465</v>
      </c>
      <c r="G91" s="20" t="s">
        <v>75</v>
      </c>
      <c r="H91" s="9">
        <v>78000</v>
      </c>
      <c r="I91" s="9">
        <v>0</v>
      </c>
      <c r="J91" s="21"/>
    </row>
    <row r="92" spans="1:10" ht="21" x14ac:dyDescent="0.3">
      <c r="A92" s="6" t="s">
        <v>472</v>
      </c>
      <c r="B92" s="6" t="s">
        <v>740</v>
      </c>
      <c r="C92" s="6" t="s">
        <v>761</v>
      </c>
      <c r="D92" s="7">
        <v>45845</v>
      </c>
      <c r="E92" s="8" t="s">
        <v>591</v>
      </c>
      <c r="F92" s="8" t="s">
        <v>727</v>
      </c>
      <c r="G92" s="20" t="s">
        <v>76</v>
      </c>
      <c r="H92" s="9">
        <v>4100</v>
      </c>
      <c r="I92" s="9">
        <v>0</v>
      </c>
      <c r="J92" s="21"/>
    </row>
    <row r="93" spans="1:10" ht="21" x14ac:dyDescent="0.3">
      <c r="A93" s="6" t="s">
        <v>472</v>
      </c>
      <c r="B93" s="6" t="s">
        <v>740</v>
      </c>
      <c r="C93" s="6" t="s">
        <v>761</v>
      </c>
      <c r="D93" s="7">
        <v>45851</v>
      </c>
      <c r="E93" s="8" t="s">
        <v>591</v>
      </c>
      <c r="F93" s="8" t="s">
        <v>465</v>
      </c>
      <c r="G93" s="20" t="s">
        <v>77</v>
      </c>
      <c r="H93" s="9">
        <v>11200</v>
      </c>
      <c r="I93" s="9">
        <v>0</v>
      </c>
      <c r="J93" s="21"/>
    </row>
    <row r="94" spans="1:10" ht="42" x14ac:dyDescent="0.3">
      <c r="A94" s="6" t="s">
        <v>472</v>
      </c>
      <c r="B94" s="6" t="s">
        <v>740</v>
      </c>
      <c r="C94" s="6" t="s">
        <v>761</v>
      </c>
      <c r="D94" s="7">
        <v>45851</v>
      </c>
      <c r="E94" s="8" t="s">
        <v>591</v>
      </c>
      <c r="F94" s="8" t="s">
        <v>465</v>
      </c>
      <c r="G94" s="20" t="s">
        <v>78</v>
      </c>
      <c r="H94" s="9">
        <v>3400</v>
      </c>
      <c r="I94" s="9">
        <v>0</v>
      </c>
      <c r="J94" s="21"/>
    </row>
    <row r="95" spans="1:10" ht="21" x14ac:dyDescent="0.3">
      <c r="A95" s="6" t="s">
        <v>472</v>
      </c>
      <c r="B95" s="6" t="s">
        <v>740</v>
      </c>
      <c r="C95" s="6" t="s">
        <v>761</v>
      </c>
      <c r="D95" s="7">
        <v>45851</v>
      </c>
      <c r="E95" s="8" t="s">
        <v>591</v>
      </c>
      <c r="F95" s="8" t="s">
        <v>465</v>
      </c>
      <c r="G95" s="20" t="s">
        <v>79</v>
      </c>
      <c r="H95" s="9">
        <v>300</v>
      </c>
      <c r="I95" s="9">
        <v>0</v>
      </c>
      <c r="J95" s="21"/>
    </row>
    <row r="96" spans="1:10" ht="21" x14ac:dyDescent="0.3">
      <c r="A96" s="6" t="s">
        <v>472</v>
      </c>
      <c r="B96" s="6" t="s">
        <v>740</v>
      </c>
      <c r="C96" s="6" t="s">
        <v>761</v>
      </c>
      <c r="D96" s="7">
        <v>45851</v>
      </c>
      <c r="E96" s="8" t="s">
        <v>591</v>
      </c>
      <c r="F96" s="8" t="s">
        <v>438</v>
      </c>
      <c r="G96" s="20" t="s">
        <v>507</v>
      </c>
      <c r="H96" s="9">
        <v>1000</v>
      </c>
      <c r="I96" s="9">
        <v>0</v>
      </c>
      <c r="J96" s="21"/>
    </row>
    <row r="97" spans="1:10" ht="42" x14ac:dyDescent="0.3">
      <c r="A97" s="6" t="s">
        <v>472</v>
      </c>
      <c r="B97" s="6" t="s">
        <v>740</v>
      </c>
      <c r="C97" s="6" t="s">
        <v>761</v>
      </c>
      <c r="D97" s="7">
        <v>45851</v>
      </c>
      <c r="E97" s="8" t="s">
        <v>591</v>
      </c>
      <c r="F97" s="8" t="s">
        <v>727</v>
      </c>
      <c r="G97" s="20" t="s">
        <v>80</v>
      </c>
      <c r="H97" s="9">
        <v>20000</v>
      </c>
      <c r="I97" s="9">
        <v>0</v>
      </c>
      <c r="J97" s="21"/>
    </row>
    <row r="98" spans="1:10" ht="21" x14ac:dyDescent="0.3">
      <c r="A98" s="6" t="s">
        <v>472</v>
      </c>
      <c r="B98" s="6" t="s">
        <v>740</v>
      </c>
      <c r="C98" s="6" t="s">
        <v>761</v>
      </c>
      <c r="D98" s="7">
        <v>45851</v>
      </c>
      <c r="E98" s="8" t="s">
        <v>591</v>
      </c>
      <c r="F98" s="8" t="s">
        <v>727</v>
      </c>
      <c r="G98" s="20" t="s">
        <v>81</v>
      </c>
      <c r="H98" s="9">
        <v>5000</v>
      </c>
      <c r="I98" s="9">
        <v>0</v>
      </c>
      <c r="J98" s="21"/>
    </row>
    <row r="99" spans="1:10" ht="42" x14ac:dyDescent="0.3">
      <c r="A99" s="6" t="s">
        <v>472</v>
      </c>
      <c r="B99" s="6" t="s">
        <v>740</v>
      </c>
      <c r="C99" s="6" t="s">
        <v>761</v>
      </c>
      <c r="D99" s="7">
        <v>45855</v>
      </c>
      <c r="E99" s="8" t="s">
        <v>591</v>
      </c>
      <c r="F99" s="8" t="s">
        <v>727</v>
      </c>
      <c r="G99" s="20" t="s">
        <v>82</v>
      </c>
      <c r="H99" s="9">
        <v>10000</v>
      </c>
      <c r="I99" s="9">
        <v>0</v>
      </c>
      <c r="J99" s="21"/>
    </row>
    <row r="100" spans="1:10" ht="21" x14ac:dyDescent="0.3">
      <c r="A100" s="6" t="s">
        <v>472</v>
      </c>
      <c r="B100" s="6" t="s">
        <v>740</v>
      </c>
      <c r="C100" s="6" t="s">
        <v>761</v>
      </c>
      <c r="D100" s="7">
        <v>45853</v>
      </c>
      <c r="E100" s="8" t="s">
        <v>591</v>
      </c>
      <c r="F100" s="8" t="s">
        <v>438</v>
      </c>
      <c r="G100" s="20" t="s">
        <v>508</v>
      </c>
      <c r="H100" s="9">
        <v>4000</v>
      </c>
      <c r="I100" s="9">
        <v>0</v>
      </c>
      <c r="J100" s="21"/>
    </row>
    <row r="101" spans="1:10" ht="21" x14ac:dyDescent="0.3">
      <c r="A101" s="6" t="s">
        <v>472</v>
      </c>
      <c r="B101" s="6" t="s">
        <v>740</v>
      </c>
      <c r="C101" s="6" t="s">
        <v>761</v>
      </c>
      <c r="D101" s="7">
        <v>45853</v>
      </c>
      <c r="E101" s="8" t="s">
        <v>591</v>
      </c>
      <c r="F101" s="8" t="s">
        <v>727</v>
      </c>
      <c r="G101" s="20" t="s">
        <v>83</v>
      </c>
      <c r="H101" s="9">
        <v>16400</v>
      </c>
      <c r="I101" s="9">
        <v>0</v>
      </c>
      <c r="J101" s="21"/>
    </row>
    <row r="102" spans="1:10" ht="21" x14ac:dyDescent="0.3">
      <c r="A102" s="6" t="s">
        <v>472</v>
      </c>
      <c r="B102" s="6" t="s">
        <v>740</v>
      </c>
      <c r="C102" s="6" t="s">
        <v>761</v>
      </c>
      <c r="D102" s="7">
        <v>45853</v>
      </c>
      <c r="E102" s="8" t="s">
        <v>591</v>
      </c>
      <c r="F102" s="8" t="s">
        <v>727</v>
      </c>
      <c r="G102" s="20" t="s">
        <v>84</v>
      </c>
      <c r="H102" s="9">
        <v>1200</v>
      </c>
      <c r="I102" s="9">
        <v>0</v>
      </c>
      <c r="J102" s="21"/>
    </row>
    <row r="103" spans="1:10" ht="21" x14ac:dyDescent="0.3">
      <c r="A103" s="6" t="s">
        <v>472</v>
      </c>
      <c r="B103" s="6" t="s">
        <v>740</v>
      </c>
      <c r="C103" s="6" t="s">
        <v>761</v>
      </c>
      <c r="D103" s="7">
        <v>45853</v>
      </c>
      <c r="E103" s="8" t="s">
        <v>591</v>
      </c>
      <c r="F103" s="8" t="s">
        <v>727</v>
      </c>
      <c r="G103" s="20" t="s">
        <v>85</v>
      </c>
      <c r="H103" s="9">
        <v>350</v>
      </c>
      <c r="I103" s="9">
        <v>0</v>
      </c>
      <c r="J103" s="21"/>
    </row>
    <row r="104" spans="1:10" ht="21" x14ac:dyDescent="0.3">
      <c r="A104" s="6" t="s">
        <v>472</v>
      </c>
      <c r="B104" s="6" t="s">
        <v>740</v>
      </c>
      <c r="C104" s="6" t="s">
        <v>761</v>
      </c>
      <c r="D104" s="7">
        <v>45855</v>
      </c>
      <c r="E104" s="8" t="s">
        <v>591</v>
      </c>
      <c r="F104" s="8" t="s">
        <v>727</v>
      </c>
      <c r="G104" s="20" t="s">
        <v>86</v>
      </c>
      <c r="H104" s="9">
        <v>16400</v>
      </c>
      <c r="I104" s="9">
        <v>0</v>
      </c>
      <c r="J104" s="21"/>
    </row>
    <row r="105" spans="1:10" ht="21" x14ac:dyDescent="0.3">
      <c r="A105" s="6" t="s">
        <v>472</v>
      </c>
      <c r="B105" s="6" t="s">
        <v>740</v>
      </c>
      <c r="C105" s="6" t="s">
        <v>761</v>
      </c>
      <c r="D105" s="7">
        <v>45855</v>
      </c>
      <c r="E105" s="8" t="s">
        <v>591</v>
      </c>
      <c r="F105" s="8" t="s">
        <v>727</v>
      </c>
      <c r="G105" s="20" t="s">
        <v>87</v>
      </c>
      <c r="H105" s="9">
        <v>14000</v>
      </c>
      <c r="I105" s="9">
        <v>0</v>
      </c>
      <c r="J105" s="21"/>
    </row>
    <row r="106" spans="1:10" ht="21" x14ac:dyDescent="0.3">
      <c r="A106" s="6" t="s">
        <v>472</v>
      </c>
      <c r="B106" s="6" t="s">
        <v>740</v>
      </c>
      <c r="C106" s="6" t="s">
        <v>761</v>
      </c>
      <c r="D106" s="7">
        <v>45855</v>
      </c>
      <c r="E106" s="8" t="s">
        <v>591</v>
      </c>
      <c r="F106" s="8" t="s">
        <v>727</v>
      </c>
      <c r="G106" s="20" t="s">
        <v>88</v>
      </c>
      <c r="H106" s="9">
        <v>2100</v>
      </c>
      <c r="I106" s="9">
        <v>0</v>
      </c>
      <c r="J106" s="21"/>
    </row>
    <row r="107" spans="1:10" ht="21" x14ac:dyDescent="0.3">
      <c r="A107" s="6" t="s">
        <v>472</v>
      </c>
      <c r="B107" s="6" t="s">
        <v>740</v>
      </c>
      <c r="C107" s="6" t="s">
        <v>761</v>
      </c>
      <c r="D107" s="7">
        <v>45855</v>
      </c>
      <c r="E107" s="8" t="s">
        <v>591</v>
      </c>
      <c r="F107" s="8" t="s">
        <v>727</v>
      </c>
      <c r="G107" s="20" t="s">
        <v>89</v>
      </c>
      <c r="H107" s="9">
        <v>600</v>
      </c>
      <c r="I107" s="9">
        <v>0</v>
      </c>
      <c r="J107" s="21"/>
    </row>
    <row r="108" spans="1:10" ht="21" x14ac:dyDescent="0.3">
      <c r="A108" s="6" t="s">
        <v>472</v>
      </c>
      <c r="B108" s="6" t="s">
        <v>740</v>
      </c>
      <c r="C108" s="6" t="s">
        <v>761</v>
      </c>
      <c r="D108" s="7">
        <v>45855</v>
      </c>
      <c r="E108" s="8" t="s">
        <v>591</v>
      </c>
      <c r="F108" s="8" t="s">
        <v>438</v>
      </c>
      <c r="G108" s="20" t="s">
        <v>509</v>
      </c>
      <c r="H108" s="9">
        <v>3000</v>
      </c>
      <c r="I108" s="9">
        <v>0</v>
      </c>
      <c r="J108" s="21"/>
    </row>
    <row r="109" spans="1:10" ht="21" x14ac:dyDescent="0.3">
      <c r="A109" s="6" t="s">
        <v>472</v>
      </c>
      <c r="B109" s="6" t="s">
        <v>740</v>
      </c>
      <c r="C109" s="6" t="s">
        <v>761</v>
      </c>
      <c r="D109" s="7">
        <v>45858</v>
      </c>
      <c r="E109" s="8" t="s">
        <v>591</v>
      </c>
      <c r="F109" s="8" t="s">
        <v>653</v>
      </c>
      <c r="G109" s="20" t="s">
        <v>90</v>
      </c>
      <c r="H109" s="9">
        <v>750</v>
      </c>
      <c r="I109" s="9">
        <v>0</v>
      </c>
      <c r="J109" s="21"/>
    </row>
    <row r="110" spans="1:10" ht="42" x14ac:dyDescent="0.3">
      <c r="A110" s="6" t="s">
        <v>472</v>
      </c>
      <c r="B110" s="6" t="s">
        <v>740</v>
      </c>
      <c r="C110" s="6" t="s">
        <v>761</v>
      </c>
      <c r="D110" s="7">
        <v>45859</v>
      </c>
      <c r="E110" s="8" t="s">
        <v>591</v>
      </c>
      <c r="F110" s="8" t="s">
        <v>727</v>
      </c>
      <c r="G110" s="20" t="s">
        <v>91</v>
      </c>
      <c r="H110" s="9">
        <v>750</v>
      </c>
      <c r="I110" s="9">
        <v>0</v>
      </c>
      <c r="J110" s="21"/>
    </row>
    <row r="111" spans="1:10" ht="21" x14ac:dyDescent="0.3">
      <c r="A111" s="6" t="s">
        <v>472</v>
      </c>
      <c r="B111" s="6" t="s">
        <v>740</v>
      </c>
      <c r="C111" s="6" t="s">
        <v>761</v>
      </c>
      <c r="D111" s="7">
        <v>45860</v>
      </c>
      <c r="E111" s="8" t="s">
        <v>591</v>
      </c>
      <c r="F111" s="8" t="s">
        <v>50</v>
      </c>
      <c r="G111" s="20" t="s">
        <v>92</v>
      </c>
      <c r="H111" s="9">
        <v>7000</v>
      </c>
      <c r="I111" s="9">
        <v>0</v>
      </c>
      <c r="J111" s="21"/>
    </row>
    <row r="112" spans="1:10" ht="21" x14ac:dyDescent="0.3">
      <c r="A112" s="6" t="s">
        <v>472</v>
      </c>
      <c r="B112" s="6" t="s">
        <v>740</v>
      </c>
      <c r="C112" s="6" t="s">
        <v>761</v>
      </c>
      <c r="D112" s="7">
        <v>45860</v>
      </c>
      <c r="E112" s="8" t="s">
        <v>591</v>
      </c>
      <c r="F112" s="8" t="s">
        <v>94</v>
      </c>
      <c r="G112" s="20" t="s">
        <v>93</v>
      </c>
      <c r="H112" s="9">
        <v>3000</v>
      </c>
      <c r="I112" s="9">
        <v>0</v>
      </c>
      <c r="J112" s="21"/>
    </row>
    <row r="113" spans="1:10" ht="42" x14ac:dyDescent="0.3">
      <c r="A113" s="6" t="s">
        <v>472</v>
      </c>
      <c r="B113" s="6" t="s">
        <v>740</v>
      </c>
      <c r="C113" s="6" t="s">
        <v>761</v>
      </c>
      <c r="D113" s="7">
        <v>45864</v>
      </c>
      <c r="E113" s="8" t="s">
        <v>591</v>
      </c>
      <c r="F113" s="8" t="s">
        <v>727</v>
      </c>
      <c r="G113" s="20" t="s">
        <v>95</v>
      </c>
      <c r="H113" s="9">
        <v>33300</v>
      </c>
      <c r="I113" s="9">
        <v>0</v>
      </c>
      <c r="J113" s="21"/>
    </row>
    <row r="114" spans="1:10" ht="42" x14ac:dyDescent="0.3">
      <c r="A114" s="6" t="s">
        <v>472</v>
      </c>
      <c r="B114" s="6" t="s">
        <v>740</v>
      </c>
      <c r="C114" s="6" t="s">
        <v>761</v>
      </c>
      <c r="D114" s="7">
        <v>45864</v>
      </c>
      <c r="E114" s="8" t="s">
        <v>591</v>
      </c>
      <c r="F114" s="8" t="s">
        <v>414</v>
      </c>
      <c r="G114" s="20" t="s">
        <v>96</v>
      </c>
      <c r="H114" s="9">
        <v>40000</v>
      </c>
      <c r="I114" s="9">
        <v>0</v>
      </c>
      <c r="J114" s="21"/>
    </row>
    <row r="115" spans="1:10" ht="21" x14ac:dyDescent="0.3">
      <c r="A115" s="6" t="s">
        <v>472</v>
      </c>
      <c r="B115" s="6" t="s">
        <v>740</v>
      </c>
      <c r="C115" s="6" t="s">
        <v>761</v>
      </c>
      <c r="D115" s="7">
        <v>45867</v>
      </c>
      <c r="E115" s="8" t="s">
        <v>591</v>
      </c>
      <c r="F115" s="8" t="s">
        <v>582</v>
      </c>
      <c r="G115" s="20" t="s">
        <v>97</v>
      </c>
      <c r="H115" s="9">
        <v>150</v>
      </c>
      <c r="I115" s="9">
        <v>0</v>
      </c>
      <c r="J115" s="21"/>
    </row>
    <row r="116" spans="1:10" ht="21" x14ac:dyDescent="0.3">
      <c r="A116" s="6" t="s">
        <v>472</v>
      </c>
      <c r="B116" s="6" t="s">
        <v>740</v>
      </c>
      <c r="C116" s="6" t="s">
        <v>761</v>
      </c>
      <c r="D116" s="7">
        <v>45868</v>
      </c>
      <c r="E116" s="8" t="s">
        <v>591</v>
      </c>
      <c r="F116" s="8" t="s">
        <v>653</v>
      </c>
      <c r="G116" s="20" t="s">
        <v>98</v>
      </c>
      <c r="H116" s="9">
        <v>300</v>
      </c>
      <c r="I116" s="9">
        <v>0</v>
      </c>
      <c r="J116" s="21"/>
    </row>
    <row r="117" spans="1:10" ht="21" x14ac:dyDescent="0.3">
      <c r="A117" s="6" t="s">
        <v>472</v>
      </c>
      <c r="B117" s="6" t="s">
        <v>740</v>
      </c>
      <c r="C117" s="6" t="s">
        <v>761</v>
      </c>
      <c r="D117" s="7">
        <v>45868</v>
      </c>
      <c r="E117" s="8" t="s">
        <v>591</v>
      </c>
      <c r="F117" s="8" t="s">
        <v>727</v>
      </c>
      <c r="G117" s="20" t="s">
        <v>99</v>
      </c>
      <c r="H117" s="9">
        <v>300</v>
      </c>
      <c r="I117" s="9">
        <v>0</v>
      </c>
      <c r="J117" s="21"/>
    </row>
    <row r="118" spans="1:10" ht="21" x14ac:dyDescent="0.3">
      <c r="A118" s="6" t="s">
        <v>472</v>
      </c>
      <c r="B118" s="6" t="s">
        <v>740</v>
      </c>
      <c r="C118" s="6" t="s">
        <v>761</v>
      </c>
      <c r="D118" s="7">
        <v>45868</v>
      </c>
      <c r="E118" s="8" t="s">
        <v>591</v>
      </c>
      <c r="F118" s="8" t="s">
        <v>727</v>
      </c>
      <c r="G118" s="20" t="s">
        <v>100</v>
      </c>
      <c r="H118" s="9">
        <v>1100</v>
      </c>
      <c r="I118" s="9">
        <v>0</v>
      </c>
      <c r="J118" s="21"/>
    </row>
    <row r="119" spans="1:10" ht="21" x14ac:dyDescent="0.3">
      <c r="A119" s="6" t="s">
        <v>472</v>
      </c>
      <c r="B119" s="6" t="s">
        <v>740</v>
      </c>
      <c r="C119" s="6" t="s">
        <v>761</v>
      </c>
      <c r="D119" s="7">
        <v>45868</v>
      </c>
      <c r="E119" s="8" t="s">
        <v>591</v>
      </c>
      <c r="F119" s="8" t="s">
        <v>727</v>
      </c>
      <c r="G119" s="20" t="s">
        <v>101</v>
      </c>
      <c r="H119" s="9">
        <v>2000</v>
      </c>
      <c r="I119" s="9">
        <v>0</v>
      </c>
      <c r="J119" s="21"/>
    </row>
    <row r="120" spans="1:10" ht="21" x14ac:dyDescent="0.3">
      <c r="A120" s="6" t="s">
        <v>472</v>
      </c>
      <c r="B120" s="6" t="s">
        <v>740</v>
      </c>
      <c r="C120" s="6" t="s">
        <v>761</v>
      </c>
      <c r="D120" s="7">
        <v>45868</v>
      </c>
      <c r="E120" s="8" t="s">
        <v>591</v>
      </c>
      <c r="F120" s="8" t="s">
        <v>727</v>
      </c>
      <c r="G120" s="20" t="s">
        <v>102</v>
      </c>
      <c r="H120" s="9">
        <v>300</v>
      </c>
      <c r="I120" s="9">
        <v>0</v>
      </c>
      <c r="J120" s="21"/>
    </row>
    <row r="121" spans="1:10" ht="21" x14ac:dyDescent="0.3">
      <c r="A121" s="6" t="s">
        <v>472</v>
      </c>
      <c r="B121" s="6" t="s">
        <v>740</v>
      </c>
      <c r="C121" s="6" t="s">
        <v>761</v>
      </c>
      <c r="D121" s="7">
        <v>45868</v>
      </c>
      <c r="E121" s="8" t="s">
        <v>591</v>
      </c>
      <c r="F121" s="8" t="s">
        <v>727</v>
      </c>
      <c r="G121" s="20" t="s">
        <v>103</v>
      </c>
      <c r="H121" s="9">
        <v>5500</v>
      </c>
      <c r="I121" s="9">
        <v>0</v>
      </c>
      <c r="J121" s="21"/>
    </row>
    <row r="122" spans="1:10" ht="21" x14ac:dyDescent="0.3">
      <c r="A122" s="6" t="s">
        <v>472</v>
      </c>
      <c r="B122" s="6" t="s">
        <v>740</v>
      </c>
      <c r="C122" s="6" t="s">
        <v>761</v>
      </c>
      <c r="D122" s="7">
        <v>45869</v>
      </c>
      <c r="E122" s="8" t="s">
        <v>591</v>
      </c>
      <c r="F122" s="8" t="s">
        <v>727</v>
      </c>
      <c r="G122" s="20" t="s">
        <v>104</v>
      </c>
      <c r="H122" s="9">
        <v>700</v>
      </c>
      <c r="I122" s="9">
        <v>0</v>
      </c>
      <c r="J122" s="21"/>
    </row>
    <row r="123" spans="1:10" ht="21" x14ac:dyDescent="0.3">
      <c r="A123" s="6" t="s">
        <v>472</v>
      </c>
      <c r="B123" s="6" t="s">
        <v>740</v>
      </c>
      <c r="C123" s="6" t="s">
        <v>761</v>
      </c>
      <c r="D123" s="7">
        <v>45869</v>
      </c>
      <c r="E123" s="8" t="s">
        <v>591</v>
      </c>
      <c r="F123" s="8" t="s">
        <v>727</v>
      </c>
      <c r="G123" s="20" t="s">
        <v>105</v>
      </c>
      <c r="H123" s="9">
        <v>1000</v>
      </c>
      <c r="I123" s="9">
        <v>0</v>
      </c>
      <c r="J123" s="21"/>
    </row>
    <row r="124" spans="1:10" ht="21" x14ac:dyDescent="0.3">
      <c r="A124" s="6" t="s">
        <v>472</v>
      </c>
      <c r="B124" s="6" t="s">
        <v>740</v>
      </c>
      <c r="C124" s="6" t="s">
        <v>761</v>
      </c>
      <c r="D124" s="7">
        <v>45869</v>
      </c>
      <c r="E124" s="8" t="s">
        <v>591</v>
      </c>
      <c r="F124" s="8" t="s">
        <v>50</v>
      </c>
      <c r="G124" s="20" t="s">
        <v>106</v>
      </c>
      <c r="H124" s="9">
        <v>2000</v>
      </c>
      <c r="I124" s="9">
        <v>0</v>
      </c>
      <c r="J124" s="21"/>
    </row>
    <row r="125" spans="1:10" ht="21" x14ac:dyDescent="0.3">
      <c r="A125" s="6" t="s">
        <v>472</v>
      </c>
      <c r="B125" s="6" t="s">
        <v>740</v>
      </c>
      <c r="C125" s="6" t="s">
        <v>761</v>
      </c>
      <c r="D125" s="7">
        <v>45869</v>
      </c>
      <c r="E125" s="8" t="s">
        <v>591</v>
      </c>
      <c r="F125" s="8" t="s">
        <v>727</v>
      </c>
      <c r="G125" s="20" t="s">
        <v>107</v>
      </c>
      <c r="H125" s="9">
        <v>31600</v>
      </c>
      <c r="I125" s="9">
        <v>0</v>
      </c>
      <c r="J125" s="21"/>
    </row>
    <row r="126" spans="1:10" ht="21" x14ac:dyDescent="0.3">
      <c r="A126" s="6" t="s">
        <v>472</v>
      </c>
      <c r="B126" s="6" t="s">
        <v>740</v>
      </c>
      <c r="C126" s="6" t="s">
        <v>761</v>
      </c>
      <c r="D126" s="7">
        <v>45869</v>
      </c>
      <c r="E126" s="8" t="s">
        <v>591</v>
      </c>
      <c r="F126" s="8" t="s">
        <v>727</v>
      </c>
      <c r="G126" s="20" t="s">
        <v>108</v>
      </c>
      <c r="H126" s="9">
        <v>10000</v>
      </c>
      <c r="I126" s="9">
        <v>0</v>
      </c>
      <c r="J126" s="21"/>
    </row>
    <row r="127" spans="1:10" ht="21" x14ac:dyDescent="0.3">
      <c r="A127" s="6" t="s">
        <v>472</v>
      </c>
      <c r="B127" s="6" t="s">
        <v>740</v>
      </c>
      <c r="C127" s="6" t="s">
        <v>761</v>
      </c>
      <c r="D127" s="7">
        <v>45869</v>
      </c>
      <c r="E127" s="8" t="s">
        <v>591</v>
      </c>
      <c r="F127" s="8" t="s">
        <v>94</v>
      </c>
      <c r="G127" s="20" t="s">
        <v>109</v>
      </c>
      <c r="H127" s="9">
        <v>4000</v>
      </c>
      <c r="I127" s="9">
        <v>0</v>
      </c>
      <c r="J127" s="21"/>
    </row>
    <row r="128" spans="1:10" ht="21" x14ac:dyDescent="0.3">
      <c r="A128" s="6" t="s">
        <v>472</v>
      </c>
      <c r="B128" s="6" t="s">
        <v>740</v>
      </c>
      <c r="C128" s="6" t="s">
        <v>761</v>
      </c>
      <c r="D128" s="7">
        <v>45869</v>
      </c>
      <c r="E128" s="8" t="s">
        <v>591</v>
      </c>
      <c r="F128" s="8" t="s">
        <v>385</v>
      </c>
      <c r="G128" s="20" t="s">
        <v>110</v>
      </c>
      <c r="H128" s="9">
        <v>50000</v>
      </c>
      <c r="I128" s="9">
        <v>0</v>
      </c>
      <c r="J128" s="21"/>
    </row>
    <row r="129" spans="1:10" ht="21" x14ac:dyDescent="0.3">
      <c r="A129" s="6" t="s">
        <v>472</v>
      </c>
      <c r="B129" s="6" t="s">
        <v>740</v>
      </c>
      <c r="C129" s="6" t="s">
        <v>761</v>
      </c>
      <c r="D129" s="7">
        <v>45872</v>
      </c>
      <c r="E129" s="8" t="s">
        <v>591</v>
      </c>
      <c r="F129" s="8" t="s">
        <v>727</v>
      </c>
      <c r="G129" s="20" t="s">
        <v>111</v>
      </c>
      <c r="H129" s="9">
        <v>500</v>
      </c>
      <c r="I129" s="9">
        <v>0</v>
      </c>
      <c r="J129" s="21"/>
    </row>
    <row r="130" spans="1:10" ht="42" x14ac:dyDescent="0.3">
      <c r="A130" s="6" t="s">
        <v>472</v>
      </c>
      <c r="B130" s="6" t="s">
        <v>740</v>
      </c>
      <c r="C130" s="6" t="s">
        <v>761</v>
      </c>
      <c r="D130" s="7">
        <v>45874</v>
      </c>
      <c r="E130" s="8" t="s">
        <v>591</v>
      </c>
      <c r="F130" s="8" t="s">
        <v>113</v>
      </c>
      <c r="G130" s="20" t="s">
        <v>112</v>
      </c>
      <c r="H130" s="9">
        <v>70000</v>
      </c>
      <c r="I130" s="9">
        <v>0</v>
      </c>
      <c r="J130" s="21"/>
    </row>
    <row r="131" spans="1:10" ht="21" x14ac:dyDescent="0.3">
      <c r="A131" s="6" t="s">
        <v>472</v>
      </c>
      <c r="B131" s="6" t="s">
        <v>740</v>
      </c>
      <c r="C131" s="6" t="s">
        <v>761</v>
      </c>
      <c r="D131" s="7">
        <v>45874</v>
      </c>
      <c r="E131" s="8" t="s">
        <v>591</v>
      </c>
      <c r="F131" s="8" t="s">
        <v>727</v>
      </c>
      <c r="G131" s="20" t="s">
        <v>114</v>
      </c>
      <c r="H131" s="9">
        <v>5950</v>
      </c>
      <c r="I131" s="9">
        <v>0</v>
      </c>
      <c r="J131" s="21"/>
    </row>
    <row r="132" spans="1:10" ht="21" x14ac:dyDescent="0.3">
      <c r="A132" s="6" t="s">
        <v>472</v>
      </c>
      <c r="B132" s="6" t="s">
        <v>740</v>
      </c>
      <c r="C132" s="6" t="s">
        <v>761</v>
      </c>
      <c r="D132" s="7">
        <v>45874</v>
      </c>
      <c r="E132" s="8" t="s">
        <v>591</v>
      </c>
      <c r="F132" s="8" t="s">
        <v>727</v>
      </c>
      <c r="G132" s="20" t="s">
        <v>115</v>
      </c>
      <c r="H132" s="9">
        <v>350</v>
      </c>
      <c r="I132" s="9">
        <v>0</v>
      </c>
      <c r="J132" s="21"/>
    </row>
    <row r="133" spans="1:10" ht="42" x14ac:dyDescent="0.3">
      <c r="A133" s="6" t="s">
        <v>472</v>
      </c>
      <c r="B133" s="6" t="s">
        <v>740</v>
      </c>
      <c r="C133" s="6" t="s">
        <v>761</v>
      </c>
      <c r="D133" s="7">
        <v>45874</v>
      </c>
      <c r="E133" s="8" t="s">
        <v>591</v>
      </c>
      <c r="F133" s="8" t="s">
        <v>465</v>
      </c>
      <c r="G133" s="20" t="s">
        <v>116</v>
      </c>
      <c r="H133" s="9">
        <v>2700</v>
      </c>
      <c r="I133" s="9">
        <v>0</v>
      </c>
      <c r="J133" s="21"/>
    </row>
    <row r="134" spans="1:10" ht="21" x14ac:dyDescent="0.3">
      <c r="A134" s="6" t="s">
        <v>472</v>
      </c>
      <c r="B134" s="6" t="s">
        <v>740</v>
      </c>
      <c r="C134" s="6" t="s">
        <v>761</v>
      </c>
      <c r="D134" s="7">
        <v>45879</v>
      </c>
      <c r="E134" s="8" t="s">
        <v>591</v>
      </c>
      <c r="F134" s="8" t="s">
        <v>94</v>
      </c>
      <c r="G134" s="20" t="s">
        <v>117</v>
      </c>
      <c r="H134" s="9">
        <v>5000</v>
      </c>
      <c r="I134" s="9">
        <v>0</v>
      </c>
      <c r="J134" s="21"/>
    </row>
    <row r="135" spans="1:10" ht="42" x14ac:dyDescent="0.3">
      <c r="A135" s="6" t="s">
        <v>472</v>
      </c>
      <c r="B135" s="6" t="s">
        <v>740</v>
      </c>
      <c r="C135" s="6" t="s">
        <v>761</v>
      </c>
      <c r="D135" s="7">
        <v>45880</v>
      </c>
      <c r="E135" s="8" t="s">
        <v>591</v>
      </c>
      <c r="F135" s="8" t="s">
        <v>414</v>
      </c>
      <c r="G135" s="20" t="s">
        <v>118</v>
      </c>
      <c r="H135" s="9">
        <v>10000</v>
      </c>
      <c r="I135" s="9">
        <v>0</v>
      </c>
      <c r="J135" s="21"/>
    </row>
    <row r="136" spans="1:10" ht="42" x14ac:dyDescent="0.3">
      <c r="A136" s="6" t="s">
        <v>472</v>
      </c>
      <c r="B136" s="6" t="s">
        <v>740</v>
      </c>
      <c r="C136" s="6" t="s">
        <v>761</v>
      </c>
      <c r="D136" s="7">
        <v>45883</v>
      </c>
      <c r="E136" s="8" t="s">
        <v>591</v>
      </c>
      <c r="F136" s="8" t="s">
        <v>50</v>
      </c>
      <c r="G136" s="20" t="s">
        <v>119</v>
      </c>
      <c r="H136" s="9">
        <v>6000</v>
      </c>
      <c r="I136" s="9">
        <v>0</v>
      </c>
      <c r="J136" s="21"/>
    </row>
    <row r="137" spans="1:10" ht="63" x14ac:dyDescent="0.3">
      <c r="A137" s="6" t="s">
        <v>472</v>
      </c>
      <c r="B137" s="6" t="s">
        <v>740</v>
      </c>
      <c r="C137" s="6" t="s">
        <v>761</v>
      </c>
      <c r="D137" s="7">
        <v>45883</v>
      </c>
      <c r="E137" s="8" t="s">
        <v>591</v>
      </c>
      <c r="F137" s="8" t="s">
        <v>727</v>
      </c>
      <c r="G137" s="20" t="s">
        <v>120</v>
      </c>
      <c r="H137" s="9">
        <v>4600</v>
      </c>
      <c r="I137" s="9">
        <v>0</v>
      </c>
      <c r="J137" s="21"/>
    </row>
    <row r="138" spans="1:10" ht="42" x14ac:dyDescent="0.3">
      <c r="A138" s="6" t="s">
        <v>472</v>
      </c>
      <c r="B138" s="6" t="s">
        <v>740</v>
      </c>
      <c r="C138" s="6" t="s">
        <v>761</v>
      </c>
      <c r="D138" s="7">
        <v>45883</v>
      </c>
      <c r="E138" s="8" t="s">
        <v>591</v>
      </c>
      <c r="F138" s="8" t="s">
        <v>717</v>
      </c>
      <c r="G138" s="20" t="s">
        <v>121</v>
      </c>
      <c r="H138" s="9">
        <v>600</v>
      </c>
      <c r="I138" s="9">
        <v>0</v>
      </c>
      <c r="J138" s="21"/>
    </row>
    <row r="139" spans="1:10" ht="21" x14ac:dyDescent="0.3">
      <c r="A139" s="6" t="s">
        <v>472</v>
      </c>
      <c r="B139" s="6" t="s">
        <v>740</v>
      </c>
      <c r="C139" s="6" t="s">
        <v>761</v>
      </c>
      <c r="D139" s="7">
        <v>45883</v>
      </c>
      <c r="E139" s="8" t="s">
        <v>591</v>
      </c>
      <c r="F139" s="8" t="s">
        <v>438</v>
      </c>
      <c r="G139" s="20" t="s">
        <v>510</v>
      </c>
      <c r="H139" s="9">
        <v>6000</v>
      </c>
      <c r="I139" s="9">
        <v>0</v>
      </c>
      <c r="J139" s="21"/>
    </row>
    <row r="140" spans="1:10" ht="21" x14ac:dyDescent="0.3">
      <c r="A140" s="6" t="s">
        <v>472</v>
      </c>
      <c r="B140" s="6" t="s">
        <v>740</v>
      </c>
      <c r="C140" s="6" t="s">
        <v>761</v>
      </c>
      <c r="D140" s="7">
        <v>45883</v>
      </c>
      <c r="E140" s="8" t="s">
        <v>591</v>
      </c>
      <c r="F140" s="8" t="s">
        <v>94</v>
      </c>
      <c r="G140" s="20" t="s">
        <v>122</v>
      </c>
      <c r="H140" s="9">
        <v>8000</v>
      </c>
      <c r="I140" s="9">
        <v>0</v>
      </c>
      <c r="J140" s="21"/>
    </row>
    <row r="141" spans="1:10" ht="21" x14ac:dyDescent="0.3">
      <c r="A141" s="6" t="s">
        <v>472</v>
      </c>
      <c r="B141" s="6" t="s">
        <v>740</v>
      </c>
      <c r="C141" s="6" t="s">
        <v>761</v>
      </c>
      <c r="D141" s="7">
        <v>45883</v>
      </c>
      <c r="E141" s="8" t="s">
        <v>591</v>
      </c>
      <c r="F141" s="8" t="s">
        <v>385</v>
      </c>
      <c r="G141" s="20" t="s">
        <v>123</v>
      </c>
      <c r="H141" s="9">
        <v>30000</v>
      </c>
      <c r="I141" s="9">
        <v>0</v>
      </c>
      <c r="J141" s="21"/>
    </row>
    <row r="142" spans="1:10" ht="42" x14ac:dyDescent="0.3">
      <c r="A142" s="6" t="s">
        <v>472</v>
      </c>
      <c r="B142" s="6" t="s">
        <v>740</v>
      </c>
      <c r="C142" s="6" t="s">
        <v>761</v>
      </c>
      <c r="D142" s="7">
        <v>45890</v>
      </c>
      <c r="E142" s="8" t="s">
        <v>591</v>
      </c>
      <c r="F142" s="8" t="s">
        <v>465</v>
      </c>
      <c r="G142" s="20" t="s">
        <v>124</v>
      </c>
      <c r="H142" s="9">
        <v>2200</v>
      </c>
      <c r="I142" s="9">
        <v>0</v>
      </c>
      <c r="J142" s="21"/>
    </row>
    <row r="143" spans="1:10" ht="42" x14ac:dyDescent="0.3">
      <c r="A143" s="6" t="s">
        <v>472</v>
      </c>
      <c r="B143" s="6" t="s">
        <v>740</v>
      </c>
      <c r="C143" s="6" t="s">
        <v>761</v>
      </c>
      <c r="D143" s="7">
        <v>45890</v>
      </c>
      <c r="E143" s="8" t="s">
        <v>591</v>
      </c>
      <c r="F143" s="8" t="s">
        <v>635</v>
      </c>
      <c r="G143" s="20" t="s">
        <v>125</v>
      </c>
      <c r="H143" s="9">
        <v>1680</v>
      </c>
      <c r="I143" s="9">
        <v>0</v>
      </c>
      <c r="J143" s="21"/>
    </row>
    <row r="144" spans="1:10" ht="42" x14ac:dyDescent="0.3">
      <c r="A144" s="6" t="s">
        <v>472</v>
      </c>
      <c r="B144" s="6" t="s">
        <v>740</v>
      </c>
      <c r="C144" s="6" t="s">
        <v>761</v>
      </c>
      <c r="D144" s="7">
        <v>45890</v>
      </c>
      <c r="E144" s="8" t="s">
        <v>591</v>
      </c>
      <c r="F144" s="8" t="s">
        <v>465</v>
      </c>
      <c r="G144" s="20" t="s">
        <v>126</v>
      </c>
      <c r="H144" s="9">
        <v>300</v>
      </c>
      <c r="I144" s="9">
        <v>0</v>
      </c>
      <c r="J144" s="21"/>
    </row>
    <row r="145" spans="1:10" ht="21" x14ac:dyDescent="0.3">
      <c r="A145" s="6" t="s">
        <v>472</v>
      </c>
      <c r="B145" s="6" t="s">
        <v>740</v>
      </c>
      <c r="C145" s="6" t="s">
        <v>761</v>
      </c>
      <c r="D145" s="7">
        <v>45890</v>
      </c>
      <c r="E145" s="8" t="s">
        <v>591</v>
      </c>
      <c r="F145" s="8" t="s">
        <v>465</v>
      </c>
      <c r="G145" s="20" t="s">
        <v>127</v>
      </c>
      <c r="H145" s="9">
        <v>310</v>
      </c>
      <c r="I145" s="9">
        <v>0</v>
      </c>
      <c r="J145" s="21"/>
    </row>
    <row r="146" spans="1:10" ht="42" x14ac:dyDescent="0.3">
      <c r="A146" s="6" t="s">
        <v>472</v>
      </c>
      <c r="B146" s="6" t="s">
        <v>740</v>
      </c>
      <c r="C146" s="6" t="s">
        <v>761</v>
      </c>
      <c r="D146" s="7">
        <v>45890</v>
      </c>
      <c r="E146" s="8" t="s">
        <v>591</v>
      </c>
      <c r="F146" s="8" t="s">
        <v>414</v>
      </c>
      <c r="G146" s="20" t="s">
        <v>128</v>
      </c>
      <c r="H146" s="9">
        <v>220</v>
      </c>
      <c r="I146" s="9">
        <v>0</v>
      </c>
      <c r="J146" s="21"/>
    </row>
    <row r="147" spans="1:10" ht="42" x14ac:dyDescent="0.3">
      <c r="A147" s="6" t="s">
        <v>472</v>
      </c>
      <c r="B147" s="6" t="s">
        <v>740</v>
      </c>
      <c r="C147" s="6" t="s">
        <v>761</v>
      </c>
      <c r="D147" s="7">
        <v>45890</v>
      </c>
      <c r="E147" s="8" t="s">
        <v>591</v>
      </c>
      <c r="F147" s="8" t="s">
        <v>465</v>
      </c>
      <c r="G147" s="20" t="s">
        <v>129</v>
      </c>
      <c r="H147" s="9">
        <v>15600</v>
      </c>
      <c r="I147" s="9">
        <v>0</v>
      </c>
      <c r="J147" s="21"/>
    </row>
    <row r="148" spans="1:10" ht="21" x14ac:dyDescent="0.3">
      <c r="A148" s="6" t="s">
        <v>472</v>
      </c>
      <c r="B148" s="6" t="s">
        <v>740</v>
      </c>
      <c r="C148" s="6" t="s">
        <v>761</v>
      </c>
      <c r="D148" s="7">
        <v>45890</v>
      </c>
      <c r="E148" s="8" t="s">
        <v>591</v>
      </c>
      <c r="F148" s="8" t="s">
        <v>465</v>
      </c>
      <c r="G148" s="20" t="s">
        <v>130</v>
      </c>
      <c r="H148" s="9">
        <v>4500</v>
      </c>
      <c r="I148" s="9">
        <v>0</v>
      </c>
      <c r="J148" s="21"/>
    </row>
    <row r="149" spans="1:10" ht="21" x14ac:dyDescent="0.3">
      <c r="A149" s="6" t="s">
        <v>472</v>
      </c>
      <c r="B149" s="6" t="s">
        <v>740</v>
      </c>
      <c r="C149" s="6" t="s">
        <v>761</v>
      </c>
      <c r="D149" s="7">
        <v>45890</v>
      </c>
      <c r="E149" s="8" t="s">
        <v>591</v>
      </c>
      <c r="F149" s="8" t="s">
        <v>438</v>
      </c>
      <c r="G149" s="20" t="s">
        <v>511</v>
      </c>
      <c r="H149" s="9">
        <v>14000</v>
      </c>
      <c r="I149" s="9">
        <v>0</v>
      </c>
      <c r="J149" s="21"/>
    </row>
    <row r="150" spans="1:10" ht="21" x14ac:dyDescent="0.3">
      <c r="A150" s="6" t="s">
        <v>472</v>
      </c>
      <c r="B150" s="6" t="s">
        <v>740</v>
      </c>
      <c r="C150" s="6" t="s">
        <v>761</v>
      </c>
      <c r="D150" s="7">
        <v>45890</v>
      </c>
      <c r="E150" s="8" t="s">
        <v>591</v>
      </c>
      <c r="F150" s="8" t="s">
        <v>94</v>
      </c>
      <c r="G150" s="20" t="s">
        <v>131</v>
      </c>
      <c r="H150" s="9">
        <v>7000</v>
      </c>
      <c r="I150" s="9">
        <v>0</v>
      </c>
      <c r="J150" s="21"/>
    </row>
    <row r="151" spans="1:10" ht="21" x14ac:dyDescent="0.3">
      <c r="A151" s="6" t="s">
        <v>472</v>
      </c>
      <c r="B151" s="6" t="s">
        <v>740</v>
      </c>
      <c r="C151" s="6" t="s">
        <v>761</v>
      </c>
      <c r="D151" s="7">
        <v>45890</v>
      </c>
      <c r="E151" s="8" t="s">
        <v>591</v>
      </c>
      <c r="F151" s="8" t="s">
        <v>50</v>
      </c>
      <c r="G151" s="20" t="s">
        <v>132</v>
      </c>
      <c r="H151" s="9">
        <v>1000</v>
      </c>
      <c r="I151" s="9">
        <v>0</v>
      </c>
      <c r="J151" s="21"/>
    </row>
    <row r="152" spans="1:10" ht="21" x14ac:dyDescent="0.3">
      <c r="A152" s="6" t="s">
        <v>472</v>
      </c>
      <c r="B152" s="6" t="s">
        <v>740</v>
      </c>
      <c r="C152" s="6" t="s">
        <v>761</v>
      </c>
      <c r="D152" s="7">
        <v>45897</v>
      </c>
      <c r="E152" s="8" t="s">
        <v>591</v>
      </c>
      <c r="F152" s="8" t="s">
        <v>94</v>
      </c>
      <c r="G152" s="20" t="s">
        <v>133</v>
      </c>
      <c r="H152" s="9">
        <v>10000</v>
      </c>
      <c r="I152" s="9">
        <v>0</v>
      </c>
      <c r="J152" s="21"/>
    </row>
    <row r="153" spans="1:10" ht="21" x14ac:dyDescent="0.3">
      <c r="A153" s="6" t="s">
        <v>472</v>
      </c>
      <c r="B153" s="6" t="s">
        <v>740</v>
      </c>
      <c r="C153" s="6" t="s">
        <v>761</v>
      </c>
      <c r="D153" s="7">
        <v>45902</v>
      </c>
      <c r="E153" s="8" t="s">
        <v>591</v>
      </c>
      <c r="F153" s="8" t="s">
        <v>438</v>
      </c>
      <c r="G153" s="20" t="s">
        <v>512</v>
      </c>
      <c r="H153" s="9">
        <v>10000</v>
      </c>
      <c r="I153" s="9">
        <v>0</v>
      </c>
      <c r="J153" s="21"/>
    </row>
    <row r="154" spans="1:10" ht="21" x14ac:dyDescent="0.3">
      <c r="A154" s="6" t="s">
        <v>472</v>
      </c>
      <c r="B154" s="6" t="s">
        <v>740</v>
      </c>
      <c r="C154" s="6" t="s">
        <v>761</v>
      </c>
      <c r="D154" s="7">
        <v>45902</v>
      </c>
      <c r="E154" s="8" t="s">
        <v>591</v>
      </c>
      <c r="F154" s="8" t="s">
        <v>465</v>
      </c>
      <c r="G154" s="20" t="s">
        <v>134</v>
      </c>
      <c r="H154" s="9">
        <v>180</v>
      </c>
      <c r="I154" s="9">
        <v>0</v>
      </c>
      <c r="J154" s="21"/>
    </row>
    <row r="155" spans="1:10" ht="21" x14ac:dyDescent="0.3">
      <c r="A155" s="6" t="s">
        <v>472</v>
      </c>
      <c r="B155" s="6" t="s">
        <v>740</v>
      </c>
      <c r="C155" s="6" t="s">
        <v>761</v>
      </c>
      <c r="D155" s="7">
        <v>45905</v>
      </c>
      <c r="E155" s="8" t="s">
        <v>591</v>
      </c>
      <c r="F155" s="8" t="s">
        <v>438</v>
      </c>
      <c r="G155" s="20" t="s">
        <v>513</v>
      </c>
      <c r="H155" s="9">
        <v>5000</v>
      </c>
      <c r="I155" s="9">
        <v>0</v>
      </c>
      <c r="J155" s="21"/>
    </row>
    <row r="156" spans="1:10" ht="42" x14ac:dyDescent="0.3">
      <c r="A156" s="6" t="s">
        <v>472</v>
      </c>
      <c r="B156" s="6" t="s">
        <v>740</v>
      </c>
      <c r="C156" s="6" t="s">
        <v>761</v>
      </c>
      <c r="D156" s="7">
        <v>45905</v>
      </c>
      <c r="E156" s="8" t="s">
        <v>591</v>
      </c>
      <c r="F156" s="8" t="s">
        <v>414</v>
      </c>
      <c r="G156" s="20" t="s">
        <v>135</v>
      </c>
      <c r="H156" s="9">
        <v>10000</v>
      </c>
      <c r="I156" s="9">
        <v>0</v>
      </c>
      <c r="J156" s="21"/>
    </row>
    <row r="157" spans="1:10" ht="21" x14ac:dyDescent="0.3">
      <c r="A157" s="6" t="s">
        <v>472</v>
      </c>
      <c r="B157" s="6" t="s">
        <v>740</v>
      </c>
      <c r="C157" s="6" t="s">
        <v>761</v>
      </c>
      <c r="D157" s="7">
        <v>45905</v>
      </c>
      <c r="E157" s="8" t="s">
        <v>591</v>
      </c>
      <c r="F157" s="8" t="s">
        <v>385</v>
      </c>
      <c r="G157" s="20" t="s">
        <v>136</v>
      </c>
      <c r="H157" s="9">
        <v>4150</v>
      </c>
      <c r="I157" s="9">
        <v>0</v>
      </c>
      <c r="J157" s="21"/>
    </row>
    <row r="158" spans="1:10" ht="21" x14ac:dyDescent="0.3">
      <c r="A158" s="6" t="s">
        <v>472</v>
      </c>
      <c r="B158" s="6" t="s">
        <v>740</v>
      </c>
      <c r="C158" s="6" t="s">
        <v>761</v>
      </c>
      <c r="D158" s="7">
        <v>45911</v>
      </c>
      <c r="E158" s="8" t="s">
        <v>591</v>
      </c>
      <c r="F158" s="8" t="s">
        <v>465</v>
      </c>
      <c r="G158" s="20" t="s">
        <v>134</v>
      </c>
      <c r="H158" s="9">
        <v>155</v>
      </c>
      <c r="I158" s="9">
        <v>0</v>
      </c>
      <c r="J158" s="21"/>
    </row>
    <row r="159" spans="1:10" ht="21" x14ac:dyDescent="0.3">
      <c r="A159" s="6" t="s">
        <v>472</v>
      </c>
      <c r="B159" s="6" t="s">
        <v>740</v>
      </c>
      <c r="C159" s="6" t="s">
        <v>761</v>
      </c>
      <c r="D159" s="7">
        <v>45911</v>
      </c>
      <c r="E159" s="8" t="s">
        <v>591</v>
      </c>
      <c r="F159" s="8" t="s">
        <v>727</v>
      </c>
      <c r="G159" s="20" t="s">
        <v>137</v>
      </c>
      <c r="H159" s="9">
        <v>200</v>
      </c>
      <c r="I159" s="9">
        <v>0</v>
      </c>
      <c r="J159" s="21"/>
    </row>
    <row r="160" spans="1:10" ht="21" x14ac:dyDescent="0.3">
      <c r="A160" s="6" t="s">
        <v>472</v>
      </c>
      <c r="B160" s="6" t="s">
        <v>740</v>
      </c>
      <c r="C160" s="6" t="s">
        <v>761</v>
      </c>
      <c r="D160" s="7">
        <v>45911</v>
      </c>
      <c r="E160" s="8" t="s">
        <v>591</v>
      </c>
      <c r="F160" s="8" t="s">
        <v>438</v>
      </c>
      <c r="G160" s="20" t="s">
        <v>514</v>
      </c>
      <c r="H160" s="9">
        <v>10000</v>
      </c>
      <c r="I160" s="9">
        <v>0</v>
      </c>
      <c r="J160" s="21"/>
    </row>
    <row r="161" spans="1:10" ht="42" x14ac:dyDescent="0.3">
      <c r="A161" s="6" t="s">
        <v>472</v>
      </c>
      <c r="B161" s="6" t="s">
        <v>740</v>
      </c>
      <c r="C161" s="6" t="s">
        <v>761</v>
      </c>
      <c r="D161" s="7">
        <v>45911</v>
      </c>
      <c r="E161" s="8" t="s">
        <v>591</v>
      </c>
      <c r="F161" s="8" t="s">
        <v>50</v>
      </c>
      <c r="G161" s="20" t="s">
        <v>138</v>
      </c>
      <c r="H161" s="9">
        <v>2500</v>
      </c>
      <c r="I161" s="9">
        <v>0</v>
      </c>
      <c r="J161" s="21"/>
    </row>
    <row r="162" spans="1:10" ht="21" x14ac:dyDescent="0.3">
      <c r="A162" s="6" t="s">
        <v>472</v>
      </c>
      <c r="B162" s="6" t="s">
        <v>740</v>
      </c>
      <c r="C162" s="6" t="s">
        <v>761</v>
      </c>
      <c r="D162" s="7">
        <v>45918</v>
      </c>
      <c r="E162" s="8" t="s">
        <v>591</v>
      </c>
      <c r="F162" s="8" t="s">
        <v>438</v>
      </c>
      <c r="G162" s="20" t="s">
        <v>515</v>
      </c>
      <c r="H162" s="9">
        <v>2650</v>
      </c>
      <c r="I162" s="9">
        <v>0</v>
      </c>
      <c r="J162" s="21"/>
    </row>
    <row r="163" spans="1:10" ht="42" x14ac:dyDescent="0.3">
      <c r="A163" s="6" t="s">
        <v>472</v>
      </c>
      <c r="B163" s="6" t="s">
        <v>740</v>
      </c>
      <c r="C163" s="6" t="s">
        <v>761</v>
      </c>
      <c r="D163" s="7">
        <v>45918</v>
      </c>
      <c r="E163" s="8" t="s">
        <v>591</v>
      </c>
      <c r="F163" s="8" t="s">
        <v>653</v>
      </c>
      <c r="G163" s="20" t="s">
        <v>139</v>
      </c>
      <c r="H163" s="9">
        <v>700</v>
      </c>
      <c r="I163" s="9">
        <v>0</v>
      </c>
      <c r="J163" s="21"/>
    </row>
    <row r="164" spans="1:10" ht="21" x14ac:dyDescent="0.3">
      <c r="A164" s="6" t="s">
        <v>472</v>
      </c>
      <c r="B164" s="6" t="s">
        <v>740</v>
      </c>
      <c r="C164" s="6" t="s">
        <v>761</v>
      </c>
      <c r="D164" s="7">
        <v>45918</v>
      </c>
      <c r="E164" s="8" t="s">
        <v>591</v>
      </c>
      <c r="F164" s="8" t="s">
        <v>717</v>
      </c>
      <c r="G164" s="20" t="s">
        <v>140</v>
      </c>
      <c r="H164" s="9">
        <v>700</v>
      </c>
      <c r="I164" s="9">
        <v>0</v>
      </c>
      <c r="J164" s="21"/>
    </row>
    <row r="165" spans="1:10" ht="21" x14ac:dyDescent="0.3">
      <c r="A165" s="6" t="s">
        <v>472</v>
      </c>
      <c r="B165" s="6" t="s">
        <v>740</v>
      </c>
      <c r="C165" s="6" t="s">
        <v>761</v>
      </c>
      <c r="D165" s="7">
        <v>45918</v>
      </c>
      <c r="E165" s="8" t="s">
        <v>591</v>
      </c>
      <c r="F165" s="8" t="s">
        <v>465</v>
      </c>
      <c r="G165" s="20" t="s">
        <v>141</v>
      </c>
      <c r="H165" s="9">
        <v>155</v>
      </c>
      <c r="I165" s="9">
        <v>0</v>
      </c>
      <c r="J165" s="21"/>
    </row>
    <row r="166" spans="1:10" ht="21" x14ac:dyDescent="0.3">
      <c r="A166" s="6" t="s">
        <v>472</v>
      </c>
      <c r="B166" s="6" t="s">
        <v>740</v>
      </c>
      <c r="C166" s="6" t="s">
        <v>761</v>
      </c>
      <c r="D166" s="7">
        <v>45918</v>
      </c>
      <c r="E166" s="8" t="s">
        <v>591</v>
      </c>
      <c r="F166" s="8" t="s">
        <v>635</v>
      </c>
      <c r="G166" s="20" t="s">
        <v>142</v>
      </c>
      <c r="H166" s="9">
        <v>86530</v>
      </c>
      <c r="I166" s="9">
        <v>0</v>
      </c>
      <c r="J166" s="21"/>
    </row>
    <row r="167" spans="1:10" ht="21" x14ac:dyDescent="0.3">
      <c r="A167" s="6" t="s">
        <v>472</v>
      </c>
      <c r="B167" s="6" t="s">
        <v>740</v>
      </c>
      <c r="C167" s="6" t="s">
        <v>761</v>
      </c>
      <c r="D167" s="7">
        <v>45926</v>
      </c>
      <c r="E167" s="8" t="s">
        <v>591</v>
      </c>
      <c r="F167" s="8" t="s">
        <v>385</v>
      </c>
      <c r="G167" s="20" t="s">
        <v>143</v>
      </c>
      <c r="H167" s="9">
        <v>1125</v>
      </c>
      <c r="I167" s="9">
        <v>0</v>
      </c>
      <c r="J167" s="21"/>
    </row>
    <row r="168" spans="1:10" ht="84" x14ac:dyDescent="0.3">
      <c r="A168" s="6" t="s">
        <v>472</v>
      </c>
      <c r="B168" s="6" t="s">
        <v>740</v>
      </c>
      <c r="C168" s="6" t="s">
        <v>761</v>
      </c>
      <c r="D168" s="7">
        <v>45926</v>
      </c>
      <c r="E168" s="8" t="s">
        <v>591</v>
      </c>
      <c r="F168" s="8" t="s">
        <v>385</v>
      </c>
      <c r="G168" s="20" t="s">
        <v>144</v>
      </c>
      <c r="H168" s="9">
        <v>83000</v>
      </c>
      <c r="I168" s="9">
        <v>0</v>
      </c>
      <c r="J168" s="21"/>
    </row>
    <row r="169" spans="1:10" ht="21" x14ac:dyDescent="0.3">
      <c r="A169" s="6" t="s">
        <v>472</v>
      </c>
      <c r="B169" s="6" t="s">
        <v>740</v>
      </c>
      <c r="C169" s="6" t="s">
        <v>761</v>
      </c>
      <c r="D169" s="7">
        <v>45926</v>
      </c>
      <c r="E169" s="8" t="s">
        <v>591</v>
      </c>
      <c r="F169" s="8" t="s">
        <v>146</v>
      </c>
      <c r="G169" s="20" t="s">
        <v>145</v>
      </c>
      <c r="H169" s="9">
        <v>41600</v>
      </c>
      <c r="I169" s="9">
        <v>0</v>
      </c>
      <c r="J169" s="21"/>
    </row>
    <row r="170" spans="1:10" ht="42" x14ac:dyDescent="0.3">
      <c r="A170" s="6" t="s">
        <v>472</v>
      </c>
      <c r="B170" s="6" t="s">
        <v>740</v>
      </c>
      <c r="C170" s="6" t="s">
        <v>761</v>
      </c>
      <c r="D170" s="7">
        <v>45926</v>
      </c>
      <c r="E170" s="8" t="s">
        <v>591</v>
      </c>
      <c r="F170" s="8" t="s">
        <v>146</v>
      </c>
      <c r="G170" s="20" t="s">
        <v>147</v>
      </c>
      <c r="H170" s="9">
        <v>16200</v>
      </c>
      <c r="I170" s="9">
        <v>0</v>
      </c>
      <c r="J170" s="21"/>
    </row>
    <row r="171" spans="1:10" ht="42" x14ac:dyDescent="0.3">
      <c r="A171" s="6" t="s">
        <v>472</v>
      </c>
      <c r="B171" s="6" t="s">
        <v>740</v>
      </c>
      <c r="C171" s="6" t="s">
        <v>761</v>
      </c>
      <c r="D171" s="7">
        <v>45926</v>
      </c>
      <c r="E171" s="8" t="s">
        <v>591</v>
      </c>
      <c r="F171" s="8" t="s">
        <v>149</v>
      </c>
      <c r="G171" s="20" t="s">
        <v>148</v>
      </c>
      <c r="H171" s="9">
        <v>5000</v>
      </c>
      <c r="I171" s="9">
        <v>0</v>
      </c>
      <c r="J171" s="21"/>
    </row>
    <row r="172" spans="1:10" ht="21" x14ac:dyDescent="0.3">
      <c r="A172" s="6" t="s">
        <v>472</v>
      </c>
      <c r="B172" s="6" t="s">
        <v>740</v>
      </c>
      <c r="C172" s="6" t="s">
        <v>761</v>
      </c>
      <c r="D172" s="7">
        <v>45926</v>
      </c>
      <c r="E172" s="8" t="s">
        <v>591</v>
      </c>
      <c r="F172" s="8" t="s">
        <v>465</v>
      </c>
      <c r="G172" s="20" t="s">
        <v>150</v>
      </c>
      <c r="H172" s="9">
        <v>1200</v>
      </c>
      <c r="I172" s="9">
        <v>0</v>
      </c>
      <c r="J172" s="21"/>
    </row>
    <row r="173" spans="1:10" ht="42" x14ac:dyDescent="0.3">
      <c r="A173" s="6" t="s">
        <v>472</v>
      </c>
      <c r="B173" s="6" t="s">
        <v>740</v>
      </c>
      <c r="C173" s="6" t="s">
        <v>761</v>
      </c>
      <c r="D173" s="7">
        <v>45926</v>
      </c>
      <c r="E173" s="8" t="s">
        <v>591</v>
      </c>
      <c r="F173" s="8" t="s">
        <v>464</v>
      </c>
      <c r="G173" s="20" t="s">
        <v>151</v>
      </c>
      <c r="H173" s="9">
        <v>1500</v>
      </c>
      <c r="I173" s="9">
        <v>0</v>
      </c>
      <c r="J173" s="21"/>
    </row>
    <row r="174" spans="1:10" ht="42" x14ac:dyDescent="0.3">
      <c r="A174" s="6" t="s">
        <v>472</v>
      </c>
      <c r="B174" s="6" t="s">
        <v>740</v>
      </c>
      <c r="C174" s="6" t="s">
        <v>761</v>
      </c>
      <c r="D174" s="7">
        <v>45926</v>
      </c>
      <c r="E174" s="8" t="s">
        <v>591</v>
      </c>
      <c r="F174" s="8" t="s">
        <v>653</v>
      </c>
      <c r="G174" s="20" t="s">
        <v>152</v>
      </c>
      <c r="H174" s="9">
        <v>1050</v>
      </c>
      <c r="I174" s="9">
        <v>0</v>
      </c>
      <c r="J174" s="21"/>
    </row>
    <row r="175" spans="1:10" ht="21" x14ac:dyDescent="0.3">
      <c r="A175" s="6" t="s">
        <v>472</v>
      </c>
      <c r="B175" s="6" t="s">
        <v>740</v>
      </c>
      <c r="C175" s="6" t="s">
        <v>761</v>
      </c>
      <c r="D175" s="7">
        <v>45926</v>
      </c>
      <c r="E175" s="8" t="s">
        <v>591</v>
      </c>
      <c r="F175" s="8" t="s">
        <v>146</v>
      </c>
      <c r="G175" s="20" t="s">
        <v>153</v>
      </c>
      <c r="H175" s="9">
        <v>30000</v>
      </c>
      <c r="I175" s="9">
        <v>0</v>
      </c>
      <c r="J175" s="21"/>
    </row>
    <row r="176" spans="1:10" ht="42" x14ac:dyDescent="0.3">
      <c r="A176" s="6" t="s">
        <v>472</v>
      </c>
      <c r="B176" s="6" t="s">
        <v>740</v>
      </c>
      <c r="C176" s="6" t="s">
        <v>761</v>
      </c>
      <c r="D176" s="7">
        <v>45932</v>
      </c>
      <c r="E176" s="8" t="s">
        <v>591</v>
      </c>
      <c r="F176" s="8" t="s">
        <v>149</v>
      </c>
      <c r="G176" s="20" t="s">
        <v>154</v>
      </c>
      <c r="H176" s="9">
        <v>5000</v>
      </c>
      <c r="I176" s="9">
        <v>0</v>
      </c>
      <c r="J176" s="21"/>
    </row>
    <row r="177" spans="1:10" ht="42" x14ac:dyDescent="0.3">
      <c r="A177" s="6" t="s">
        <v>472</v>
      </c>
      <c r="B177" s="6" t="s">
        <v>740</v>
      </c>
      <c r="C177" s="6" t="s">
        <v>761</v>
      </c>
      <c r="D177" s="7">
        <v>45932</v>
      </c>
      <c r="E177" s="8" t="s">
        <v>591</v>
      </c>
      <c r="F177" s="8" t="s">
        <v>717</v>
      </c>
      <c r="G177" s="20" t="s">
        <v>155</v>
      </c>
      <c r="H177" s="9">
        <v>4050</v>
      </c>
      <c r="I177" s="9">
        <v>0</v>
      </c>
      <c r="J177" s="21"/>
    </row>
    <row r="178" spans="1:10" ht="42" x14ac:dyDescent="0.3">
      <c r="A178" s="6" t="s">
        <v>472</v>
      </c>
      <c r="B178" s="6" t="s">
        <v>740</v>
      </c>
      <c r="C178" s="6" t="s">
        <v>761</v>
      </c>
      <c r="D178" s="7">
        <v>45936</v>
      </c>
      <c r="E178" s="8" t="s">
        <v>591</v>
      </c>
      <c r="F178" s="8" t="s">
        <v>149</v>
      </c>
      <c r="G178" s="20" t="s">
        <v>156</v>
      </c>
      <c r="H178" s="9">
        <v>10500</v>
      </c>
      <c r="I178" s="9">
        <v>0</v>
      </c>
      <c r="J178" s="21"/>
    </row>
    <row r="179" spans="1:10" ht="42" x14ac:dyDescent="0.3">
      <c r="A179" s="6" t="s">
        <v>472</v>
      </c>
      <c r="B179" s="6" t="s">
        <v>740</v>
      </c>
      <c r="C179" s="6" t="s">
        <v>761</v>
      </c>
      <c r="D179" s="7">
        <v>45936</v>
      </c>
      <c r="E179" s="8" t="s">
        <v>591</v>
      </c>
      <c r="F179" s="8" t="s">
        <v>635</v>
      </c>
      <c r="G179" s="20" t="s">
        <v>157</v>
      </c>
      <c r="H179" s="9">
        <v>17700</v>
      </c>
      <c r="I179" s="9">
        <v>0</v>
      </c>
      <c r="J179" s="21"/>
    </row>
    <row r="180" spans="1:10" ht="21" x14ac:dyDescent="0.3">
      <c r="A180" s="6" t="s">
        <v>472</v>
      </c>
      <c r="B180" s="6" t="s">
        <v>740</v>
      </c>
      <c r="C180" s="6" t="s">
        <v>761</v>
      </c>
      <c r="D180" s="7">
        <v>45945</v>
      </c>
      <c r="E180" s="8" t="s">
        <v>591</v>
      </c>
      <c r="F180" s="8" t="s">
        <v>464</v>
      </c>
      <c r="G180" s="20" t="s">
        <v>158</v>
      </c>
      <c r="H180" s="9">
        <v>350</v>
      </c>
      <c r="I180" s="9">
        <v>0</v>
      </c>
      <c r="J180" s="21"/>
    </row>
    <row r="181" spans="1:10" ht="63" x14ac:dyDescent="0.3">
      <c r="A181" s="6" t="s">
        <v>472</v>
      </c>
      <c r="B181" s="6" t="s">
        <v>740</v>
      </c>
      <c r="C181" s="6" t="s">
        <v>761</v>
      </c>
      <c r="D181" s="7">
        <v>45945</v>
      </c>
      <c r="E181" s="8" t="s">
        <v>591</v>
      </c>
      <c r="F181" s="8" t="s">
        <v>50</v>
      </c>
      <c r="G181" s="20" t="s">
        <v>159</v>
      </c>
      <c r="H181" s="9">
        <v>5000</v>
      </c>
      <c r="I181" s="9">
        <v>0</v>
      </c>
      <c r="J181" s="21"/>
    </row>
    <row r="182" spans="1:10" ht="63" x14ac:dyDescent="0.3">
      <c r="A182" s="6" t="s">
        <v>472</v>
      </c>
      <c r="B182" s="6" t="s">
        <v>740</v>
      </c>
      <c r="C182" s="6" t="s">
        <v>761</v>
      </c>
      <c r="D182" s="7">
        <v>45952</v>
      </c>
      <c r="E182" s="8" t="s">
        <v>591</v>
      </c>
      <c r="F182" s="8" t="s">
        <v>50</v>
      </c>
      <c r="G182" s="20" t="s">
        <v>160</v>
      </c>
      <c r="H182" s="9">
        <v>4000</v>
      </c>
      <c r="I182" s="9">
        <v>0</v>
      </c>
      <c r="J182" s="21"/>
    </row>
    <row r="183" spans="1:10" ht="21" x14ac:dyDescent="0.3">
      <c r="A183" s="6" t="s">
        <v>472</v>
      </c>
      <c r="B183" s="6" t="s">
        <v>740</v>
      </c>
      <c r="C183" s="6" t="s">
        <v>761</v>
      </c>
      <c r="D183" s="7">
        <v>45952</v>
      </c>
      <c r="E183" s="8" t="s">
        <v>591</v>
      </c>
      <c r="F183" s="8" t="s">
        <v>149</v>
      </c>
      <c r="G183" s="20" t="s">
        <v>161</v>
      </c>
      <c r="H183" s="9">
        <v>7200</v>
      </c>
      <c r="I183" s="9">
        <v>0</v>
      </c>
      <c r="J183" s="21"/>
    </row>
    <row r="184" spans="1:10" ht="21" x14ac:dyDescent="0.3">
      <c r="A184" s="6" t="s">
        <v>472</v>
      </c>
      <c r="B184" s="6" t="s">
        <v>740</v>
      </c>
      <c r="C184" s="6" t="s">
        <v>761</v>
      </c>
      <c r="D184" s="7">
        <v>45952</v>
      </c>
      <c r="E184" s="8" t="s">
        <v>591</v>
      </c>
      <c r="F184" s="8" t="s">
        <v>25</v>
      </c>
      <c r="G184" s="20" t="s">
        <v>162</v>
      </c>
      <c r="H184" s="9">
        <v>200</v>
      </c>
      <c r="I184" s="9">
        <v>0</v>
      </c>
      <c r="J184" s="21"/>
    </row>
    <row r="185" spans="1:10" ht="21" x14ac:dyDescent="0.3">
      <c r="A185" s="6" t="s">
        <v>472</v>
      </c>
      <c r="B185" s="6" t="s">
        <v>740</v>
      </c>
      <c r="C185" s="6" t="s">
        <v>761</v>
      </c>
      <c r="D185" s="7">
        <v>45952</v>
      </c>
      <c r="E185" s="8" t="s">
        <v>591</v>
      </c>
      <c r="F185" s="8" t="s">
        <v>653</v>
      </c>
      <c r="G185" s="20" t="s">
        <v>163</v>
      </c>
      <c r="H185" s="9">
        <v>350</v>
      </c>
      <c r="I185" s="9">
        <v>0</v>
      </c>
      <c r="J185" s="21"/>
    </row>
    <row r="186" spans="1:10" ht="21" x14ac:dyDescent="0.3">
      <c r="A186" s="6" t="s">
        <v>472</v>
      </c>
      <c r="B186" s="6" t="s">
        <v>740</v>
      </c>
      <c r="C186" s="6" t="s">
        <v>761</v>
      </c>
      <c r="D186" s="7">
        <v>45962</v>
      </c>
      <c r="E186" s="8" t="s">
        <v>591</v>
      </c>
      <c r="F186" s="8" t="s">
        <v>165</v>
      </c>
      <c r="G186" s="20" t="s">
        <v>164</v>
      </c>
      <c r="H186" s="9">
        <v>100000</v>
      </c>
      <c r="I186" s="9">
        <v>0</v>
      </c>
      <c r="J186" s="21"/>
    </row>
    <row r="187" spans="1:10" ht="21" x14ac:dyDescent="0.3">
      <c r="A187" s="6" t="s">
        <v>472</v>
      </c>
      <c r="B187" s="6" t="s">
        <v>740</v>
      </c>
      <c r="C187" s="6" t="s">
        <v>761</v>
      </c>
      <c r="D187" s="7">
        <v>45962</v>
      </c>
      <c r="E187" s="8" t="s">
        <v>591</v>
      </c>
      <c r="F187" s="8" t="s">
        <v>414</v>
      </c>
      <c r="G187" s="20" t="s">
        <v>166</v>
      </c>
      <c r="H187" s="9">
        <v>6200</v>
      </c>
      <c r="I187" s="9">
        <v>0</v>
      </c>
      <c r="J187" s="21"/>
    </row>
    <row r="188" spans="1:10" ht="42" x14ac:dyDescent="0.3">
      <c r="A188" s="6" t="s">
        <v>472</v>
      </c>
      <c r="B188" s="6" t="s">
        <v>740</v>
      </c>
      <c r="C188" s="6" t="s">
        <v>761</v>
      </c>
      <c r="D188" s="7">
        <v>45974</v>
      </c>
      <c r="E188" s="8" t="s">
        <v>591</v>
      </c>
      <c r="F188" s="8" t="s">
        <v>516</v>
      </c>
      <c r="G188" s="20" t="s">
        <v>167</v>
      </c>
      <c r="H188" s="9">
        <v>50000</v>
      </c>
      <c r="I188" s="9">
        <v>0</v>
      </c>
      <c r="J188" s="21"/>
    </row>
    <row r="189" spans="1:10" ht="42" x14ac:dyDescent="0.3">
      <c r="A189" s="6" t="s">
        <v>472</v>
      </c>
      <c r="B189" s="6" t="s">
        <v>740</v>
      </c>
      <c r="C189" s="6" t="s">
        <v>761</v>
      </c>
      <c r="D189" s="7">
        <v>45981</v>
      </c>
      <c r="E189" s="8" t="s">
        <v>591</v>
      </c>
      <c r="F189" s="8" t="s">
        <v>727</v>
      </c>
      <c r="G189" s="20" t="s">
        <v>168</v>
      </c>
      <c r="H189" s="9">
        <v>38500</v>
      </c>
      <c r="I189" s="9">
        <v>0</v>
      </c>
      <c r="J189" s="21"/>
    </row>
    <row r="190" spans="1:10" ht="42" x14ac:dyDescent="0.3">
      <c r="A190" s="6" t="s">
        <v>472</v>
      </c>
      <c r="B190" s="6" t="s">
        <v>740</v>
      </c>
      <c r="C190" s="6" t="s">
        <v>761</v>
      </c>
      <c r="D190" s="7">
        <v>45981</v>
      </c>
      <c r="E190" s="8" t="s">
        <v>591</v>
      </c>
      <c r="F190" s="8" t="s">
        <v>727</v>
      </c>
      <c r="G190" s="20" t="s">
        <v>169</v>
      </c>
      <c r="H190" s="9">
        <v>13000</v>
      </c>
      <c r="I190" s="9">
        <v>0</v>
      </c>
      <c r="J190" s="21"/>
    </row>
    <row r="191" spans="1:10" ht="21" x14ac:dyDescent="0.3">
      <c r="A191" s="6" t="s">
        <v>472</v>
      </c>
      <c r="B191" s="6" t="s">
        <v>740</v>
      </c>
      <c r="C191" s="6" t="s">
        <v>761</v>
      </c>
      <c r="D191" s="7">
        <v>45981</v>
      </c>
      <c r="E191" s="8" t="s">
        <v>591</v>
      </c>
      <c r="F191" s="8" t="s">
        <v>727</v>
      </c>
      <c r="G191" s="20" t="s">
        <v>170</v>
      </c>
      <c r="H191" s="9">
        <v>300</v>
      </c>
      <c r="I191" s="9">
        <v>0</v>
      </c>
      <c r="J191" s="21"/>
    </row>
    <row r="192" spans="1:10" ht="42" x14ac:dyDescent="0.3">
      <c r="A192" s="6" t="s">
        <v>472</v>
      </c>
      <c r="B192" s="6" t="s">
        <v>740</v>
      </c>
      <c r="C192" s="6" t="s">
        <v>761</v>
      </c>
      <c r="D192" s="7">
        <v>45988</v>
      </c>
      <c r="E192" s="8" t="s">
        <v>591</v>
      </c>
      <c r="F192" s="8" t="s">
        <v>516</v>
      </c>
      <c r="G192" s="20" t="s">
        <v>171</v>
      </c>
      <c r="H192" s="9">
        <v>50000</v>
      </c>
      <c r="I192" s="9">
        <v>0</v>
      </c>
      <c r="J192" s="21"/>
    </row>
    <row r="193" spans="1:10" ht="42" x14ac:dyDescent="0.3">
      <c r="A193" s="6" t="s">
        <v>472</v>
      </c>
      <c r="B193" s="6" t="s">
        <v>740</v>
      </c>
      <c r="C193" s="6" t="s">
        <v>761</v>
      </c>
      <c r="D193" s="7">
        <v>45988</v>
      </c>
      <c r="E193" s="8" t="s">
        <v>591</v>
      </c>
      <c r="F193" s="8" t="s">
        <v>464</v>
      </c>
      <c r="G193" s="20" t="s">
        <v>172</v>
      </c>
      <c r="H193" s="9">
        <v>1100</v>
      </c>
      <c r="I193" s="9">
        <v>0</v>
      </c>
      <c r="J193" s="21"/>
    </row>
    <row r="194" spans="1:10" ht="42" x14ac:dyDescent="0.3">
      <c r="A194" s="6" t="s">
        <v>472</v>
      </c>
      <c r="B194" s="6" t="s">
        <v>740</v>
      </c>
      <c r="C194" s="6" t="s">
        <v>761</v>
      </c>
      <c r="D194" s="7">
        <v>45988</v>
      </c>
      <c r="E194" s="8" t="s">
        <v>591</v>
      </c>
      <c r="F194" s="8" t="s">
        <v>582</v>
      </c>
      <c r="G194" s="20" t="s">
        <v>173</v>
      </c>
      <c r="H194" s="9">
        <v>200</v>
      </c>
      <c r="I194" s="9">
        <v>0</v>
      </c>
      <c r="J194" s="21"/>
    </row>
    <row r="195" spans="1:10" ht="21" x14ac:dyDescent="0.3">
      <c r="A195" s="6" t="s">
        <v>472</v>
      </c>
      <c r="B195" s="6" t="s">
        <v>740</v>
      </c>
      <c r="C195" s="6" t="s">
        <v>761</v>
      </c>
      <c r="D195" s="7">
        <v>45988</v>
      </c>
      <c r="E195" s="8" t="s">
        <v>591</v>
      </c>
      <c r="F195" s="8" t="s">
        <v>165</v>
      </c>
      <c r="G195" s="20" t="s">
        <v>174</v>
      </c>
      <c r="H195" s="9">
        <v>100000</v>
      </c>
      <c r="I195" s="9">
        <v>0</v>
      </c>
      <c r="J195" s="21"/>
    </row>
    <row r="196" spans="1:10" ht="42" x14ac:dyDescent="0.3">
      <c r="A196" s="6" t="s">
        <v>472</v>
      </c>
      <c r="B196" s="6" t="s">
        <v>740</v>
      </c>
      <c r="C196" s="6" t="s">
        <v>761</v>
      </c>
      <c r="D196" s="7">
        <v>46003</v>
      </c>
      <c r="E196" s="8" t="s">
        <v>591</v>
      </c>
      <c r="F196" s="8" t="s">
        <v>465</v>
      </c>
      <c r="G196" s="20" t="s">
        <v>175</v>
      </c>
      <c r="H196" s="9">
        <v>22500</v>
      </c>
      <c r="I196" s="9">
        <v>0</v>
      </c>
      <c r="J196" s="21"/>
    </row>
    <row r="197" spans="1:10" ht="42" x14ac:dyDescent="0.3">
      <c r="A197" s="6" t="s">
        <v>472</v>
      </c>
      <c r="B197" s="6" t="s">
        <v>740</v>
      </c>
      <c r="C197" s="6" t="s">
        <v>761</v>
      </c>
      <c r="D197" s="7">
        <v>46003</v>
      </c>
      <c r="E197" s="8" t="s">
        <v>591</v>
      </c>
      <c r="F197" s="8" t="s">
        <v>465</v>
      </c>
      <c r="G197" s="20" t="s">
        <v>176</v>
      </c>
      <c r="H197" s="9">
        <v>91500</v>
      </c>
      <c r="I197" s="9">
        <v>0</v>
      </c>
      <c r="J197" s="21"/>
    </row>
    <row r="198" spans="1:10" ht="42" x14ac:dyDescent="0.3">
      <c r="A198" s="6" t="s">
        <v>472</v>
      </c>
      <c r="B198" s="6" t="s">
        <v>740</v>
      </c>
      <c r="C198" s="6" t="s">
        <v>761</v>
      </c>
      <c r="D198" s="7">
        <v>46009</v>
      </c>
      <c r="E198" s="8" t="s">
        <v>591</v>
      </c>
      <c r="F198" s="8" t="s">
        <v>635</v>
      </c>
      <c r="G198" s="20" t="s">
        <v>177</v>
      </c>
      <c r="H198" s="9">
        <v>3400</v>
      </c>
      <c r="I198" s="9">
        <v>0</v>
      </c>
      <c r="J198" s="21"/>
    </row>
    <row r="199" spans="1:10" ht="42" x14ac:dyDescent="0.3">
      <c r="A199" s="6" t="s">
        <v>472</v>
      </c>
      <c r="B199" s="6" t="s">
        <v>740</v>
      </c>
      <c r="C199" s="6" t="s">
        <v>761</v>
      </c>
      <c r="D199" s="7">
        <v>46009</v>
      </c>
      <c r="E199" s="8" t="s">
        <v>591</v>
      </c>
      <c r="F199" s="8" t="s">
        <v>465</v>
      </c>
      <c r="G199" s="20" t="s">
        <v>178</v>
      </c>
      <c r="H199" s="9">
        <v>7700</v>
      </c>
      <c r="I199" s="9">
        <v>0</v>
      </c>
      <c r="J199" s="21"/>
    </row>
    <row r="200" spans="1:10" ht="42" x14ac:dyDescent="0.3">
      <c r="A200" s="6" t="s">
        <v>472</v>
      </c>
      <c r="B200" s="6" t="s">
        <v>740</v>
      </c>
      <c r="C200" s="6" t="s">
        <v>761</v>
      </c>
      <c r="D200" s="7">
        <v>46009</v>
      </c>
      <c r="E200" s="8" t="s">
        <v>591</v>
      </c>
      <c r="F200" s="8" t="s">
        <v>465</v>
      </c>
      <c r="G200" s="20" t="s">
        <v>179</v>
      </c>
      <c r="H200" s="9">
        <v>2000</v>
      </c>
      <c r="I200" s="9">
        <v>0</v>
      </c>
      <c r="J200" s="21"/>
    </row>
    <row r="201" spans="1:10" ht="42" x14ac:dyDescent="0.3">
      <c r="A201" s="6" t="s">
        <v>472</v>
      </c>
      <c r="B201" s="6" t="s">
        <v>740</v>
      </c>
      <c r="C201" s="6" t="s">
        <v>761</v>
      </c>
      <c r="D201" s="7">
        <v>46009</v>
      </c>
      <c r="E201" s="8" t="s">
        <v>591</v>
      </c>
      <c r="F201" s="8" t="s">
        <v>752</v>
      </c>
      <c r="G201" s="20" t="s">
        <v>387</v>
      </c>
      <c r="H201" s="9">
        <v>12000</v>
      </c>
      <c r="I201" s="9">
        <v>0</v>
      </c>
      <c r="J201" s="21"/>
    </row>
    <row r="202" spans="1:10" ht="21" x14ac:dyDescent="0.3">
      <c r="A202" s="6" t="s">
        <v>472</v>
      </c>
      <c r="B202" s="6" t="s">
        <v>740</v>
      </c>
      <c r="C202" s="6" t="s">
        <v>761</v>
      </c>
      <c r="D202" s="7">
        <v>46009</v>
      </c>
      <c r="E202" s="8" t="s">
        <v>591</v>
      </c>
      <c r="F202" s="8" t="s">
        <v>752</v>
      </c>
      <c r="G202" s="20" t="s">
        <v>180</v>
      </c>
      <c r="H202" s="9">
        <v>2300</v>
      </c>
      <c r="I202" s="9">
        <v>0</v>
      </c>
      <c r="J202" s="21"/>
    </row>
    <row r="203" spans="1:10" ht="21" x14ac:dyDescent="0.3">
      <c r="A203" s="6" t="s">
        <v>472</v>
      </c>
      <c r="B203" s="6" t="s">
        <v>740</v>
      </c>
      <c r="C203" s="6" t="s">
        <v>761</v>
      </c>
      <c r="D203" s="7">
        <v>46009</v>
      </c>
      <c r="E203" s="8" t="s">
        <v>591</v>
      </c>
      <c r="F203" s="8" t="s">
        <v>752</v>
      </c>
      <c r="G203" s="20" t="s">
        <v>181</v>
      </c>
      <c r="H203" s="9">
        <v>240</v>
      </c>
      <c r="I203" s="9">
        <v>0</v>
      </c>
      <c r="J203" s="21"/>
    </row>
    <row r="204" spans="1:10" ht="63" x14ac:dyDescent="0.3">
      <c r="A204" s="6" t="s">
        <v>472</v>
      </c>
      <c r="B204" s="6" t="s">
        <v>740</v>
      </c>
      <c r="C204" s="6" t="s">
        <v>761</v>
      </c>
      <c r="D204" s="7">
        <v>46010</v>
      </c>
      <c r="E204" s="8" t="s">
        <v>591</v>
      </c>
      <c r="F204" s="8" t="s">
        <v>752</v>
      </c>
      <c r="G204" s="20" t="s">
        <v>182</v>
      </c>
      <c r="H204" s="9">
        <v>2410</v>
      </c>
      <c r="I204" s="9">
        <v>0</v>
      </c>
      <c r="J204" s="21"/>
    </row>
    <row r="205" spans="1:10" ht="21" x14ac:dyDescent="0.3">
      <c r="A205" s="6" t="s">
        <v>472</v>
      </c>
      <c r="B205" s="6" t="s">
        <v>740</v>
      </c>
      <c r="C205" s="6" t="s">
        <v>761</v>
      </c>
      <c r="D205" s="7">
        <v>46016</v>
      </c>
      <c r="E205" s="8" t="s">
        <v>591</v>
      </c>
      <c r="F205" s="8" t="s">
        <v>751</v>
      </c>
      <c r="G205" s="20" t="s">
        <v>183</v>
      </c>
      <c r="H205" s="9">
        <v>400</v>
      </c>
      <c r="I205" s="9">
        <v>0</v>
      </c>
      <c r="J205" s="21"/>
    </row>
    <row r="206" spans="1:10" ht="21" x14ac:dyDescent="0.3">
      <c r="A206" s="6" t="s">
        <v>472</v>
      </c>
      <c r="B206" s="6" t="s">
        <v>740</v>
      </c>
      <c r="C206" s="6" t="s">
        <v>761</v>
      </c>
      <c r="D206" s="7">
        <v>46016</v>
      </c>
      <c r="E206" s="8" t="s">
        <v>591</v>
      </c>
      <c r="F206" s="8" t="s">
        <v>727</v>
      </c>
      <c r="G206" s="20" t="s">
        <v>184</v>
      </c>
      <c r="H206" s="9">
        <v>2300</v>
      </c>
      <c r="I206" s="9">
        <v>0</v>
      </c>
      <c r="J206" s="21"/>
    </row>
    <row r="207" spans="1:10" ht="21" x14ac:dyDescent="0.3">
      <c r="A207" s="6" t="s">
        <v>472</v>
      </c>
      <c r="B207" s="6" t="s">
        <v>740</v>
      </c>
      <c r="C207" s="6" t="s">
        <v>761</v>
      </c>
      <c r="D207" s="7">
        <v>46022</v>
      </c>
      <c r="E207" s="8" t="s">
        <v>591</v>
      </c>
      <c r="F207" s="8" t="s">
        <v>727</v>
      </c>
      <c r="G207" s="20" t="s">
        <v>185</v>
      </c>
      <c r="H207" s="9">
        <v>400</v>
      </c>
      <c r="I207" s="9">
        <v>0</v>
      </c>
      <c r="J207" s="21"/>
    </row>
    <row r="208" spans="1:10" ht="21" x14ac:dyDescent="0.3">
      <c r="A208" s="6" t="s">
        <v>472</v>
      </c>
      <c r="B208" s="6" t="s">
        <v>740</v>
      </c>
      <c r="C208" s="6" t="s">
        <v>761</v>
      </c>
      <c r="D208" s="7">
        <v>46022</v>
      </c>
      <c r="E208" s="8" t="s">
        <v>591</v>
      </c>
      <c r="F208" s="8" t="s">
        <v>752</v>
      </c>
      <c r="G208" s="20" t="s">
        <v>186</v>
      </c>
      <c r="H208" s="9">
        <v>100</v>
      </c>
      <c r="I208" s="9">
        <v>0</v>
      </c>
      <c r="J208" s="21"/>
    </row>
    <row r="209" spans="1:10" ht="21" x14ac:dyDescent="0.3">
      <c r="A209" s="6" t="s">
        <v>472</v>
      </c>
      <c r="B209" s="6" t="s">
        <v>740</v>
      </c>
      <c r="C209" s="6" t="s">
        <v>761</v>
      </c>
      <c r="D209" s="7">
        <v>46022</v>
      </c>
      <c r="E209" s="8" t="s">
        <v>591</v>
      </c>
      <c r="F209" s="8" t="s">
        <v>753</v>
      </c>
      <c r="G209" s="20" t="s">
        <v>187</v>
      </c>
      <c r="H209" s="9">
        <v>3200</v>
      </c>
      <c r="I209" s="9">
        <v>0</v>
      </c>
      <c r="J209" s="21"/>
    </row>
    <row r="210" spans="1:10" ht="21" x14ac:dyDescent="0.3">
      <c r="A210" s="6" t="s">
        <v>472</v>
      </c>
      <c r="B210" s="6" t="s">
        <v>740</v>
      </c>
      <c r="C210" s="6" t="s">
        <v>761</v>
      </c>
      <c r="D210" s="7">
        <v>46022</v>
      </c>
      <c r="E210" s="8" t="s">
        <v>591</v>
      </c>
      <c r="F210" s="8" t="s">
        <v>727</v>
      </c>
      <c r="G210" s="20" t="s">
        <v>188</v>
      </c>
      <c r="H210" s="9">
        <v>3800</v>
      </c>
      <c r="I210" s="9">
        <v>0</v>
      </c>
      <c r="J210" s="21"/>
    </row>
    <row r="211" spans="1:10" ht="63" x14ac:dyDescent="0.3">
      <c r="A211" s="6" t="s">
        <v>472</v>
      </c>
      <c r="B211" s="6" t="s">
        <v>740</v>
      </c>
      <c r="C211" s="6" t="s">
        <v>761</v>
      </c>
      <c r="D211" s="7">
        <v>46022</v>
      </c>
      <c r="E211" s="8" t="s">
        <v>591</v>
      </c>
      <c r="F211" s="8" t="s">
        <v>94</v>
      </c>
      <c r="G211" s="20" t="s">
        <v>189</v>
      </c>
      <c r="H211" s="9">
        <v>15000</v>
      </c>
      <c r="I211" s="9">
        <v>0</v>
      </c>
      <c r="J211" s="21"/>
    </row>
    <row r="212" spans="1:10" ht="21" x14ac:dyDescent="0.3">
      <c r="A212" s="6" t="s">
        <v>472</v>
      </c>
      <c r="B212" s="6" t="s">
        <v>740</v>
      </c>
      <c r="C212" s="6" t="s">
        <v>761</v>
      </c>
      <c r="D212" s="7">
        <v>46022</v>
      </c>
      <c r="E212" s="8" t="s">
        <v>591</v>
      </c>
      <c r="F212" s="8" t="s">
        <v>438</v>
      </c>
      <c r="G212" s="20" t="s">
        <v>497</v>
      </c>
      <c r="H212" s="9">
        <v>4000</v>
      </c>
      <c r="I212" s="9">
        <v>0</v>
      </c>
      <c r="J212" s="21"/>
    </row>
    <row r="213" spans="1:10" ht="21" x14ac:dyDescent="0.3">
      <c r="A213" s="6" t="s">
        <v>472</v>
      </c>
      <c r="B213" s="6" t="s">
        <v>740</v>
      </c>
      <c r="C213" s="6" t="s">
        <v>761</v>
      </c>
      <c r="D213" s="7">
        <v>46022</v>
      </c>
      <c r="E213" s="8" t="s">
        <v>591</v>
      </c>
      <c r="F213" s="8" t="s">
        <v>727</v>
      </c>
      <c r="G213" s="20" t="s">
        <v>190</v>
      </c>
      <c r="H213" s="9">
        <v>3000</v>
      </c>
      <c r="I213" s="9">
        <v>0</v>
      </c>
      <c r="J213" s="21"/>
    </row>
    <row r="214" spans="1:10" ht="84" x14ac:dyDescent="0.3">
      <c r="A214" s="6" t="s">
        <v>472</v>
      </c>
      <c r="B214" s="6" t="s">
        <v>740</v>
      </c>
      <c r="C214" s="6" t="s">
        <v>761</v>
      </c>
      <c r="D214" s="7">
        <v>46022</v>
      </c>
      <c r="E214" s="8" t="s">
        <v>591</v>
      </c>
      <c r="F214" s="8" t="s">
        <v>727</v>
      </c>
      <c r="G214" s="20" t="s">
        <v>191</v>
      </c>
      <c r="H214" s="9">
        <v>14500</v>
      </c>
      <c r="I214" s="9">
        <v>0</v>
      </c>
      <c r="J214" s="21"/>
    </row>
    <row r="215" spans="1:10" ht="21" x14ac:dyDescent="0.3">
      <c r="A215" s="6" t="s">
        <v>472</v>
      </c>
      <c r="B215" s="6" t="s">
        <v>740</v>
      </c>
      <c r="C215" s="6" t="s">
        <v>761</v>
      </c>
      <c r="D215" s="7">
        <v>46022</v>
      </c>
      <c r="E215" s="8" t="s">
        <v>591</v>
      </c>
      <c r="F215" s="8" t="s">
        <v>727</v>
      </c>
      <c r="G215" s="20" t="s">
        <v>192</v>
      </c>
      <c r="H215" s="9">
        <v>3750</v>
      </c>
      <c r="I215" s="9">
        <v>0</v>
      </c>
      <c r="J215" s="21"/>
    </row>
    <row r="216" spans="1:10" ht="21" x14ac:dyDescent="0.3">
      <c r="A216" s="6" t="s">
        <v>472</v>
      </c>
      <c r="B216" s="6" t="s">
        <v>740</v>
      </c>
      <c r="C216" s="6" t="s">
        <v>761</v>
      </c>
      <c r="D216" s="7">
        <v>46029</v>
      </c>
      <c r="E216" s="8" t="s">
        <v>591</v>
      </c>
      <c r="F216" s="8" t="s">
        <v>438</v>
      </c>
      <c r="G216" s="20" t="s">
        <v>498</v>
      </c>
      <c r="H216" s="9">
        <v>10000</v>
      </c>
      <c r="I216" s="9">
        <v>0</v>
      </c>
      <c r="J216" s="21"/>
    </row>
    <row r="217" spans="1:10" ht="63" x14ac:dyDescent="0.3">
      <c r="A217" s="6" t="s">
        <v>472</v>
      </c>
      <c r="B217" s="6" t="s">
        <v>740</v>
      </c>
      <c r="C217" s="6" t="s">
        <v>761</v>
      </c>
      <c r="D217" s="7">
        <v>46029</v>
      </c>
      <c r="E217" s="8" t="s">
        <v>591</v>
      </c>
      <c r="F217" s="8" t="s">
        <v>727</v>
      </c>
      <c r="G217" s="20" t="s">
        <v>193</v>
      </c>
      <c r="H217" s="9">
        <v>8000</v>
      </c>
      <c r="I217" s="9">
        <v>0</v>
      </c>
      <c r="J217" s="21"/>
    </row>
    <row r="218" spans="1:10" ht="42" x14ac:dyDescent="0.3">
      <c r="A218" s="6" t="s">
        <v>472</v>
      </c>
      <c r="B218" s="6" t="s">
        <v>740</v>
      </c>
      <c r="C218" s="6" t="s">
        <v>761</v>
      </c>
      <c r="D218" s="7">
        <v>46029</v>
      </c>
      <c r="E218" s="8" t="s">
        <v>591</v>
      </c>
      <c r="F218" s="8" t="s">
        <v>465</v>
      </c>
      <c r="G218" s="20" t="s">
        <v>194</v>
      </c>
      <c r="H218" s="9">
        <v>535</v>
      </c>
      <c r="I218" s="9">
        <v>0</v>
      </c>
      <c r="J218" s="21"/>
    </row>
    <row r="219" spans="1:10" ht="21" x14ac:dyDescent="0.3">
      <c r="A219" s="6" t="s">
        <v>472</v>
      </c>
      <c r="B219" s="6" t="s">
        <v>740</v>
      </c>
      <c r="C219" s="6" t="s">
        <v>761</v>
      </c>
      <c r="D219" s="7">
        <v>46035</v>
      </c>
      <c r="E219" s="8" t="s">
        <v>591</v>
      </c>
      <c r="F219" s="8" t="s">
        <v>438</v>
      </c>
      <c r="G219" s="20" t="s">
        <v>499</v>
      </c>
      <c r="H219" s="9">
        <v>2000</v>
      </c>
      <c r="I219" s="9">
        <v>0</v>
      </c>
      <c r="J219" s="21"/>
    </row>
    <row r="220" spans="1:10" ht="21" x14ac:dyDescent="0.3">
      <c r="A220" s="6" t="s">
        <v>472</v>
      </c>
      <c r="B220" s="6" t="s">
        <v>740</v>
      </c>
      <c r="C220" s="6" t="s">
        <v>761</v>
      </c>
      <c r="D220" s="7">
        <v>46035</v>
      </c>
      <c r="E220" s="8" t="s">
        <v>591</v>
      </c>
      <c r="F220" s="8" t="s">
        <v>195</v>
      </c>
      <c r="G220" s="20" t="s">
        <v>451</v>
      </c>
      <c r="H220" s="9">
        <v>20000</v>
      </c>
      <c r="I220" s="9">
        <v>0</v>
      </c>
      <c r="J220" s="21"/>
    </row>
    <row r="221" spans="1:10" ht="42" x14ac:dyDescent="0.3">
      <c r="A221" s="6" t="s">
        <v>472</v>
      </c>
      <c r="B221" s="6" t="s">
        <v>740</v>
      </c>
      <c r="C221" s="6" t="s">
        <v>761</v>
      </c>
      <c r="D221" s="7">
        <v>46035</v>
      </c>
      <c r="E221" s="8" t="s">
        <v>591</v>
      </c>
      <c r="F221" s="8" t="s">
        <v>113</v>
      </c>
      <c r="G221" s="20" t="s">
        <v>196</v>
      </c>
      <c r="H221" s="9">
        <v>13300</v>
      </c>
      <c r="I221" s="9">
        <v>0</v>
      </c>
      <c r="J221" s="21"/>
    </row>
    <row r="222" spans="1:10" ht="42" x14ac:dyDescent="0.3">
      <c r="A222" s="6" t="s">
        <v>472</v>
      </c>
      <c r="B222" s="6" t="s">
        <v>740</v>
      </c>
      <c r="C222" s="6" t="s">
        <v>761</v>
      </c>
      <c r="D222" s="7">
        <v>46035</v>
      </c>
      <c r="E222" s="8" t="s">
        <v>591</v>
      </c>
      <c r="F222" s="8" t="s">
        <v>753</v>
      </c>
      <c r="G222" s="20" t="s">
        <v>197</v>
      </c>
      <c r="H222" s="9">
        <v>1700</v>
      </c>
      <c r="I222" s="9">
        <v>0</v>
      </c>
      <c r="J222" s="21"/>
    </row>
    <row r="223" spans="1:10" ht="42" x14ac:dyDescent="0.3">
      <c r="A223" s="6" t="s">
        <v>472</v>
      </c>
      <c r="B223" s="6" t="s">
        <v>740</v>
      </c>
      <c r="C223" s="6" t="s">
        <v>761</v>
      </c>
      <c r="D223" s="7">
        <v>46035</v>
      </c>
      <c r="E223" s="8" t="s">
        <v>591</v>
      </c>
      <c r="F223" s="8" t="s">
        <v>113</v>
      </c>
      <c r="G223" s="20" t="s">
        <v>198</v>
      </c>
      <c r="H223" s="9">
        <v>20000</v>
      </c>
      <c r="I223" s="9">
        <v>0</v>
      </c>
      <c r="J223" s="21"/>
    </row>
    <row r="224" spans="1:10" ht="21" x14ac:dyDescent="0.3">
      <c r="A224" s="6" t="s">
        <v>472</v>
      </c>
      <c r="B224" s="6" t="s">
        <v>740</v>
      </c>
      <c r="C224" s="6" t="s">
        <v>761</v>
      </c>
      <c r="D224" s="7">
        <v>46035</v>
      </c>
      <c r="E224" s="8" t="s">
        <v>591</v>
      </c>
      <c r="F224" s="8" t="s">
        <v>195</v>
      </c>
      <c r="G224" s="20" t="s">
        <v>452</v>
      </c>
      <c r="H224" s="9">
        <v>20000</v>
      </c>
      <c r="I224" s="9">
        <v>0</v>
      </c>
      <c r="J224" s="21"/>
    </row>
    <row r="225" spans="1:10" ht="21" x14ac:dyDescent="0.3">
      <c r="A225" s="6" t="s">
        <v>472</v>
      </c>
      <c r="B225" s="6" t="s">
        <v>740</v>
      </c>
      <c r="C225" s="6" t="s">
        <v>761</v>
      </c>
      <c r="D225" s="7">
        <v>46035</v>
      </c>
      <c r="E225" s="8" t="s">
        <v>591</v>
      </c>
      <c r="F225" s="8" t="s">
        <v>727</v>
      </c>
      <c r="G225" s="20" t="s">
        <v>199</v>
      </c>
      <c r="H225" s="9">
        <v>38800</v>
      </c>
      <c r="I225" s="9">
        <v>0</v>
      </c>
      <c r="J225" s="21"/>
    </row>
    <row r="226" spans="1:10" ht="42" x14ac:dyDescent="0.3">
      <c r="A226" s="6" t="s">
        <v>472</v>
      </c>
      <c r="B226" s="6" t="s">
        <v>740</v>
      </c>
      <c r="C226" s="6" t="s">
        <v>761</v>
      </c>
      <c r="D226" s="7">
        <v>46035</v>
      </c>
      <c r="E226" s="8" t="s">
        <v>591</v>
      </c>
      <c r="F226" s="8" t="s">
        <v>727</v>
      </c>
      <c r="G226" s="20" t="s">
        <v>200</v>
      </c>
      <c r="H226" s="9">
        <v>5000</v>
      </c>
      <c r="I226" s="9">
        <v>0</v>
      </c>
      <c r="J226" s="21"/>
    </row>
    <row r="227" spans="1:10" ht="42" x14ac:dyDescent="0.3">
      <c r="A227" s="6" t="s">
        <v>472</v>
      </c>
      <c r="B227" s="6" t="s">
        <v>740</v>
      </c>
      <c r="C227" s="6" t="s">
        <v>761</v>
      </c>
      <c r="D227" s="7">
        <v>46035</v>
      </c>
      <c r="E227" s="8" t="s">
        <v>591</v>
      </c>
      <c r="F227" s="8" t="s">
        <v>751</v>
      </c>
      <c r="G227" s="20" t="s">
        <v>201</v>
      </c>
      <c r="H227" s="9">
        <v>2025</v>
      </c>
      <c r="I227" s="9">
        <v>0</v>
      </c>
      <c r="J227" s="21"/>
    </row>
    <row r="228" spans="1:10" ht="21" x14ac:dyDescent="0.3">
      <c r="A228" s="6" t="s">
        <v>472</v>
      </c>
      <c r="B228" s="6" t="s">
        <v>740</v>
      </c>
      <c r="C228" s="6" t="s">
        <v>761</v>
      </c>
      <c r="D228" s="7">
        <v>46035</v>
      </c>
      <c r="E228" s="8" t="s">
        <v>591</v>
      </c>
      <c r="F228" s="8" t="s">
        <v>438</v>
      </c>
      <c r="G228" s="20" t="s">
        <v>500</v>
      </c>
      <c r="H228" s="9">
        <v>14000</v>
      </c>
      <c r="I228" s="9">
        <v>0</v>
      </c>
      <c r="J228" s="21"/>
    </row>
    <row r="229" spans="1:10" ht="42" x14ac:dyDescent="0.3">
      <c r="A229" s="6" t="s">
        <v>472</v>
      </c>
      <c r="B229" s="6" t="s">
        <v>740</v>
      </c>
      <c r="C229" s="6" t="s">
        <v>761</v>
      </c>
      <c r="D229" s="7">
        <v>46035</v>
      </c>
      <c r="E229" s="8" t="s">
        <v>591</v>
      </c>
      <c r="F229" s="8" t="s">
        <v>727</v>
      </c>
      <c r="G229" s="20" t="s">
        <v>202</v>
      </c>
      <c r="H229" s="9">
        <v>14800</v>
      </c>
      <c r="I229" s="9">
        <v>0</v>
      </c>
      <c r="J229" s="21"/>
    </row>
    <row r="230" spans="1:10" ht="21" x14ac:dyDescent="0.3">
      <c r="A230" s="6" t="s">
        <v>472</v>
      </c>
      <c r="B230" s="6" t="s">
        <v>740</v>
      </c>
      <c r="C230" s="6" t="s">
        <v>761</v>
      </c>
      <c r="D230" s="7">
        <v>46035</v>
      </c>
      <c r="E230" s="8" t="s">
        <v>591</v>
      </c>
      <c r="F230" s="8" t="s">
        <v>754</v>
      </c>
      <c r="G230" s="20" t="s">
        <v>203</v>
      </c>
      <c r="H230" s="9">
        <v>50000</v>
      </c>
      <c r="I230" s="9">
        <v>0</v>
      </c>
      <c r="J230" s="21"/>
    </row>
    <row r="231" spans="1:10" ht="63" x14ac:dyDescent="0.3">
      <c r="A231" s="6" t="s">
        <v>472</v>
      </c>
      <c r="B231" s="6" t="s">
        <v>740</v>
      </c>
      <c r="C231" s="6" t="s">
        <v>761</v>
      </c>
      <c r="D231" s="7">
        <v>46035</v>
      </c>
      <c r="E231" s="8" t="s">
        <v>591</v>
      </c>
      <c r="F231" s="8" t="s">
        <v>94</v>
      </c>
      <c r="G231" s="20" t="s">
        <v>204</v>
      </c>
      <c r="H231" s="9">
        <v>7000</v>
      </c>
      <c r="I231" s="9">
        <v>0</v>
      </c>
      <c r="J231" s="21"/>
    </row>
    <row r="232" spans="1:10" ht="21" x14ac:dyDescent="0.3">
      <c r="A232" s="6" t="s">
        <v>472</v>
      </c>
      <c r="B232" s="6" t="s">
        <v>740</v>
      </c>
      <c r="C232" s="6" t="s">
        <v>761</v>
      </c>
      <c r="D232" s="7">
        <v>46035</v>
      </c>
      <c r="E232" s="8" t="s">
        <v>591</v>
      </c>
      <c r="F232" s="8" t="s">
        <v>414</v>
      </c>
      <c r="G232" s="20" t="s">
        <v>205</v>
      </c>
      <c r="H232" s="9">
        <v>22700</v>
      </c>
      <c r="I232" s="9">
        <v>0</v>
      </c>
      <c r="J232" s="21"/>
    </row>
    <row r="233" spans="1:10" ht="42" x14ac:dyDescent="0.3">
      <c r="A233" s="6" t="s">
        <v>472</v>
      </c>
      <c r="B233" s="6" t="s">
        <v>740</v>
      </c>
      <c r="C233" s="6" t="s">
        <v>761</v>
      </c>
      <c r="D233" s="7">
        <v>46035</v>
      </c>
      <c r="E233" s="8" t="s">
        <v>591</v>
      </c>
      <c r="F233" s="8" t="s">
        <v>717</v>
      </c>
      <c r="G233" s="20" t="s">
        <v>206</v>
      </c>
      <c r="H233" s="9">
        <v>700</v>
      </c>
      <c r="I233" s="9">
        <v>0</v>
      </c>
      <c r="J233" s="21"/>
    </row>
    <row r="234" spans="1:10" ht="42" x14ac:dyDescent="0.3">
      <c r="A234" s="6" t="s">
        <v>472</v>
      </c>
      <c r="B234" s="6" t="s">
        <v>740</v>
      </c>
      <c r="C234" s="6" t="s">
        <v>761</v>
      </c>
      <c r="D234" s="7">
        <v>46035</v>
      </c>
      <c r="E234" s="8" t="s">
        <v>591</v>
      </c>
      <c r="F234" s="8" t="s">
        <v>751</v>
      </c>
      <c r="G234" s="20" t="s">
        <v>207</v>
      </c>
      <c r="H234" s="9">
        <v>700</v>
      </c>
      <c r="I234" s="9">
        <v>0</v>
      </c>
      <c r="J234" s="21"/>
    </row>
    <row r="235" spans="1:10" ht="42" x14ac:dyDescent="0.3">
      <c r="A235" s="6" t="s">
        <v>472</v>
      </c>
      <c r="B235" s="6" t="s">
        <v>740</v>
      </c>
      <c r="C235" s="6" t="s">
        <v>761</v>
      </c>
      <c r="D235" s="7">
        <v>46039</v>
      </c>
      <c r="E235" s="8" t="s">
        <v>591</v>
      </c>
      <c r="F235" s="8" t="s">
        <v>414</v>
      </c>
      <c r="G235" s="20" t="s">
        <v>208</v>
      </c>
      <c r="H235" s="9">
        <v>6740</v>
      </c>
      <c r="I235" s="9">
        <v>0</v>
      </c>
      <c r="J235" s="21"/>
    </row>
    <row r="236" spans="1:10" ht="42" x14ac:dyDescent="0.3">
      <c r="A236" s="6" t="s">
        <v>472</v>
      </c>
      <c r="B236" s="6" t="s">
        <v>740</v>
      </c>
      <c r="C236" s="6" t="s">
        <v>761</v>
      </c>
      <c r="D236" s="7">
        <v>46039</v>
      </c>
      <c r="E236" s="8" t="s">
        <v>591</v>
      </c>
      <c r="F236" s="8" t="s">
        <v>753</v>
      </c>
      <c r="G236" s="20" t="s">
        <v>209</v>
      </c>
      <c r="H236" s="9">
        <v>18300</v>
      </c>
      <c r="I236" s="9">
        <v>0</v>
      </c>
      <c r="J236" s="21"/>
    </row>
    <row r="237" spans="1:10" ht="42" x14ac:dyDescent="0.3">
      <c r="A237" s="6" t="s">
        <v>472</v>
      </c>
      <c r="B237" s="6" t="s">
        <v>740</v>
      </c>
      <c r="C237" s="6" t="s">
        <v>761</v>
      </c>
      <c r="D237" s="7">
        <v>46039</v>
      </c>
      <c r="E237" s="8" t="s">
        <v>591</v>
      </c>
      <c r="F237" s="8" t="s">
        <v>753</v>
      </c>
      <c r="G237" s="20" t="s">
        <v>210</v>
      </c>
      <c r="H237" s="9">
        <v>20000</v>
      </c>
      <c r="I237" s="9">
        <v>0</v>
      </c>
      <c r="J237" s="21"/>
    </row>
    <row r="238" spans="1:10" ht="21" x14ac:dyDescent="0.3">
      <c r="A238" s="6" t="s">
        <v>472</v>
      </c>
      <c r="B238" s="6" t="s">
        <v>740</v>
      </c>
      <c r="C238" s="6" t="s">
        <v>761</v>
      </c>
      <c r="D238" s="7">
        <v>46039</v>
      </c>
      <c r="E238" s="8" t="s">
        <v>591</v>
      </c>
      <c r="F238" s="8" t="s">
        <v>753</v>
      </c>
      <c r="G238" s="20" t="s">
        <v>211</v>
      </c>
      <c r="H238" s="9">
        <v>3500</v>
      </c>
      <c r="I238" s="9">
        <v>0</v>
      </c>
      <c r="J238" s="21"/>
    </row>
    <row r="239" spans="1:10" ht="42" x14ac:dyDescent="0.3">
      <c r="A239" s="6" t="s">
        <v>472</v>
      </c>
      <c r="B239" s="6" t="s">
        <v>740</v>
      </c>
      <c r="C239" s="6" t="s">
        <v>761</v>
      </c>
      <c r="D239" s="7">
        <v>46039</v>
      </c>
      <c r="E239" s="8" t="s">
        <v>591</v>
      </c>
      <c r="F239" s="8" t="s">
        <v>753</v>
      </c>
      <c r="G239" s="20" t="s">
        <v>212</v>
      </c>
      <c r="H239" s="9">
        <v>1250</v>
      </c>
      <c r="I239" s="9">
        <v>0</v>
      </c>
      <c r="J239" s="21"/>
    </row>
    <row r="240" spans="1:10" ht="42" x14ac:dyDescent="0.3">
      <c r="A240" s="6" t="s">
        <v>472</v>
      </c>
      <c r="B240" s="6" t="s">
        <v>740</v>
      </c>
      <c r="C240" s="6" t="s">
        <v>761</v>
      </c>
      <c r="D240" s="7">
        <v>46039</v>
      </c>
      <c r="E240" s="8" t="s">
        <v>591</v>
      </c>
      <c r="F240" s="8" t="s">
        <v>113</v>
      </c>
      <c r="G240" s="20" t="s">
        <v>213</v>
      </c>
      <c r="H240" s="9">
        <v>3200</v>
      </c>
      <c r="I240" s="9">
        <v>0</v>
      </c>
      <c r="J240" s="21"/>
    </row>
    <row r="241" spans="1:10" ht="42" x14ac:dyDescent="0.3">
      <c r="A241" s="6" t="s">
        <v>472</v>
      </c>
      <c r="B241" s="6" t="s">
        <v>740</v>
      </c>
      <c r="C241" s="6" t="s">
        <v>761</v>
      </c>
      <c r="D241" s="7">
        <v>46039</v>
      </c>
      <c r="E241" s="8" t="s">
        <v>591</v>
      </c>
      <c r="F241" s="8" t="s">
        <v>113</v>
      </c>
      <c r="G241" s="20" t="s">
        <v>214</v>
      </c>
      <c r="H241" s="9">
        <v>8700</v>
      </c>
      <c r="I241" s="9">
        <v>0</v>
      </c>
      <c r="J241" s="21"/>
    </row>
    <row r="242" spans="1:10" ht="84" x14ac:dyDescent="0.3">
      <c r="A242" s="6" t="s">
        <v>472</v>
      </c>
      <c r="B242" s="6" t="s">
        <v>740</v>
      </c>
      <c r="C242" s="6" t="s">
        <v>761</v>
      </c>
      <c r="D242" s="7">
        <v>46039</v>
      </c>
      <c r="E242" s="8" t="s">
        <v>591</v>
      </c>
      <c r="F242" s="8" t="s">
        <v>113</v>
      </c>
      <c r="G242" s="20" t="s">
        <v>215</v>
      </c>
      <c r="H242" s="9">
        <v>31950</v>
      </c>
      <c r="I242" s="9">
        <v>0</v>
      </c>
      <c r="J242" s="21"/>
    </row>
    <row r="243" spans="1:10" ht="63" x14ac:dyDescent="0.3">
      <c r="A243" s="6" t="s">
        <v>472</v>
      </c>
      <c r="B243" s="6" t="s">
        <v>740</v>
      </c>
      <c r="C243" s="6" t="s">
        <v>761</v>
      </c>
      <c r="D243" s="7">
        <v>46039</v>
      </c>
      <c r="E243" s="8" t="s">
        <v>591</v>
      </c>
      <c r="F243" s="8" t="s">
        <v>751</v>
      </c>
      <c r="G243" s="20" t="s">
        <v>216</v>
      </c>
      <c r="H243" s="9">
        <v>1000</v>
      </c>
      <c r="I243" s="9">
        <v>0</v>
      </c>
      <c r="J243" s="21"/>
    </row>
    <row r="244" spans="1:10" ht="42" x14ac:dyDescent="0.3">
      <c r="A244" s="6" t="s">
        <v>472</v>
      </c>
      <c r="B244" s="6" t="s">
        <v>740</v>
      </c>
      <c r="C244" s="6" t="s">
        <v>761</v>
      </c>
      <c r="D244" s="7">
        <v>46039</v>
      </c>
      <c r="E244" s="8" t="s">
        <v>591</v>
      </c>
      <c r="F244" s="8" t="s">
        <v>149</v>
      </c>
      <c r="G244" s="20" t="s">
        <v>217</v>
      </c>
      <c r="H244" s="9">
        <v>8300</v>
      </c>
      <c r="I244" s="9">
        <v>0</v>
      </c>
      <c r="J244" s="21"/>
    </row>
    <row r="245" spans="1:10" ht="42" x14ac:dyDescent="0.3">
      <c r="A245" s="6" t="s">
        <v>472</v>
      </c>
      <c r="B245" s="6" t="s">
        <v>740</v>
      </c>
      <c r="C245" s="6" t="s">
        <v>761</v>
      </c>
      <c r="D245" s="7">
        <v>46039</v>
      </c>
      <c r="E245" s="8" t="s">
        <v>591</v>
      </c>
      <c r="F245" s="8" t="s">
        <v>149</v>
      </c>
      <c r="G245" s="20" t="s">
        <v>218</v>
      </c>
      <c r="H245" s="9">
        <v>950</v>
      </c>
      <c r="I245" s="9">
        <v>0</v>
      </c>
      <c r="J245" s="21"/>
    </row>
    <row r="246" spans="1:10" ht="42" x14ac:dyDescent="0.3">
      <c r="A246" s="6" t="s">
        <v>472</v>
      </c>
      <c r="B246" s="6" t="s">
        <v>740</v>
      </c>
      <c r="C246" s="6" t="s">
        <v>761</v>
      </c>
      <c r="D246" s="7">
        <v>46039</v>
      </c>
      <c r="E246" s="8" t="s">
        <v>591</v>
      </c>
      <c r="F246" s="8" t="s">
        <v>195</v>
      </c>
      <c r="G246" s="20" t="s">
        <v>219</v>
      </c>
      <c r="H246" s="9">
        <v>50000</v>
      </c>
      <c r="I246" s="9">
        <v>0</v>
      </c>
      <c r="J246" s="21"/>
    </row>
    <row r="247" spans="1:10" ht="42" x14ac:dyDescent="0.3">
      <c r="A247" s="6" t="s">
        <v>472</v>
      </c>
      <c r="B247" s="6" t="s">
        <v>740</v>
      </c>
      <c r="C247" s="6" t="s">
        <v>761</v>
      </c>
      <c r="D247" s="7">
        <v>46039</v>
      </c>
      <c r="E247" s="8" t="s">
        <v>591</v>
      </c>
      <c r="F247" s="8" t="s">
        <v>195</v>
      </c>
      <c r="G247" s="20" t="s">
        <v>220</v>
      </c>
      <c r="H247" s="9">
        <v>20000</v>
      </c>
      <c r="I247" s="9">
        <v>0</v>
      </c>
      <c r="J247" s="21"/>
    </row>
    <row r="248" spans="1:10" ht="21" x14ac:dyDescent="0.3">
      <c r="A248" s="6" t="s">
        <v>472</v>
      </c>
      <c r="B248" s="6" t="s">
        <v>740</v>
      </c>
      <c r="C248" s="6" t="s">
        <v>761</v>
      </c>
      <c r="D248" s="7">
        <v>46039</v>
      </c>
      <c r="E248" s="8" t="s">
        <v>591</v>
      </c>
      <c r="F248" s="8" t="s">
        <v>438</v>
      </c>
      <c r="G248" s="20" t="s">
        <v>501</v>
      </c>
      <c r="H248" s="9">
        <v>10000</v>
      </c>
      <c r="I248" s="9">
        <v>0</v>
      </c>
      <c r="J248" s="21"/>
    </row>
    <row r="249" spans="1:10" ht="63" x14ac:dyDescent="0.3">
      <c r="A249" s="6" t="s">
        <v>472</v>
      </c>
      <c r="B249" s="6" t="s">
        <v>740</v>
      </c>
      <c r="C249" s="6" t="s">
        <v>761</v>
      </c>
      <c r="D249" s="7">
        <v>46039</v>
      </c>
      <c r="E249" s="8" t="s">
        <v>591</v>
      </c>
      <c r="F249" s="8" t="s">
        <v>635</v>
      </c>
      <c r="G249" s="20" t="s">
        <v>221</v>
      </c>
      <c r="H249" s="9">
        <v>50000</v>
      </c>
      <c r="I249" s="9">
        <v>0</v>
      </c>
      <c r="J249" s="21"/>
    </row>
    <row r="250" spans="1:10" ht="42" x14ac:dyDescent="0.3">
      <c r="A250" s="6" t="s">
        <v>472</v>
      </c>
      <c r="B250" s="6" t="s">
        <v>740</v>
      </c>
      <c r="C250" s="6" t="s">
        <v>761</v>
      </c>
      <c r="D250" s="7">
        <v>46066</v>
      </c>
      <c r="E250" s="8" t="s">
        <v>591</v>
      </c>
      <c r="F250" s="8" t="s">
        <v>752</v>
      </c>
      <c r="G250" s="20" t="s">
        <v>388</v>
      </c>
      <c r="H250" s="9">
        <v>12000</v>
      </c>
      <c r="I250" s="9">
        <v>0</v>
      </c>
      <c r="J250" s="21"/>
    </row>
    <row r="251" spans="1:10" ht="42" x14ac:dyDescent="0.3">
      <c r="A251" s="6" t="s">
        <v>472</v>
      </c>
      <c r="B251" s="6" t="s">
        <v>740</v>
      </c>
      <c r="C251" s="6" t="s">
        <v>761</v>
      </c>
      <c r="D251" s="7">
        <v>46052</v>
      </c>
      <c r="E251" s="8" t="s">
        <v>591</v>
      </c>
      <c r="F251" s="8" t="s">
        <v>195</v>
      </c>
      <c r="G251" s="20" t="s">
        <v>222</v>
      </c>
      <c r="H251" s="9">
        <v>70000</v>
      </c>
      <c r="I251" s="9">
        <v>0</v>
      </c>
      <c r="J251" s="21"/>
    </row>
    <row r="252" spans="1:10" ht="42" x14ac:dyDescent="0.3">
      <c r="A252" s="6" t="s">
        <v>472</v>
      </c>
      <c r="B252" s="6" t="s">
        <v>740</v>
      </c>
      <c r="C252" s="6" t="s">
        <v>761</v>
      </c>
      <c r="D252" s="7">
        <v>46052</v>
      </c>
      <c r="E252" s="8" t="s">
        <v>591</v>
      </c>
      <c r="F252" s="8" t="s">
        <v>195</v>
      </c>
      <c r="G252" s="20" t="s">
        <v>223</v>
      </c>
      <c r="H252" s="9">
        <v>10000</v>
      </c>
      <c r="I252" s="9">
        <v>0</v>
      </c>
      <c r="J252" s="21"/>
    </row>
    <row r="253" spans="1:10" ht="21" x14ac:dyDescent="0.3">
      <c r="A253" s="6" t="s">
        <v>472</v>
      </c>
      <c r="B253" s="6" t="s">
        <v>740</v>
      </c>
      <c r="C253" s="6" t="s">
        <v>761</v>
      </c>
      <c r="D253" s="7">
        <v>46052</v>
      </c>
      <c r="E253" s="8" t="s">
        <v>591</v>
      </c>
      <c r="F253" s="8" t="s">
        <v>438</v>
      </c>
      <c r="G253" s="20" t="s">
        <v>502</v>
      </c>
      <c r="H253" s="9">
        <v>10000</v>
      </c>
      <c r="I253" s="9">
        <v>0</v>
      </c>
      <c r="J253" s="21"/>
    </row>
    <row r="254" spans="1:10" ht="42" x14ac:dyDescent="0.3">
      <c r="A254" s="6" t="s">
        <v>472</v>
      </c>
      <c r="B254" s="6" t="s">
        <v>740</v>
      </c>
      <c r="C254" s="6" t="s">
        <v>761</v>
      </c>
      <c r="D254" s="7">
        <v>46052</v>
      </c>
      <c r="E254" s="8" t="s">
        <v>591</v>
      </c>
      <c r="F254" s="8" t="s">
        <v>94</v>
      </c>
      <c r="G254" s="20" t="s">
        <v>224</v>
      </c>
      <c r="H254" s="9">
        <v>10000</v>
      </c>
      <c r="I254" s="9">
        <v>0</v>
      </c>
      <c r="J254" s="21"/>
    </row>
    <row r="255" spans="1:10" ht="42" x14ac:dyDescent="0.3">
      <c r="A255" s="6" t="s">
        <v>472</v>
      </c>
      <c r="B255" s="6" t="s">
        <v>740</v>
      </c>
      <c r="C255" s="6" t="s">
        <v>761</v>
      </c>
      <c r="D255" s="7">
        <v>46052</v>
      </c>
      <c r="E255" s="8" t="s">
        <v>591</v>
      </c>
      <c r="F255" s="8" t="s">
        <v>414</v>
      </c>
      <c r="G255" s="20" t="s">
        <v>225</v>
      </c>
      <c r="H255" s="9">
        <v>10000</v>
      </c>
      <c r="I255" s="9">
        <v>0</v>
      </c>
      <c r="J255" s="21"/>
    </row>
    <row r="256" spans="1:10" ht="63" x14ac:dyDescent="0.3">
      <c r="A256" s="6" t="s">
        <v>472</v>
      </c>
      <c r="B256" s="6" t="s">
        <v>740</v>
      </c>
      <c r="C256" s="6" t="s">
        <v>761</v>
      </c>
      <c r="D256" s="7">
        <v>46052</v>
      </c>
      <c r="E256" s="8" t="s">
        <v>591</v>
      </c>
      <c r="F256" s="8" t="s">
        <v>414</v>
      </c>
      <c r="G256" s="20" t="s">
        <v>226</v>
      </c>
      <c r="H256" s="9">
        <v>10000</v>
      </c>
      <c r="I256" s="9">
        <v>0</v>
      </c>
      <c r="J256" s="21"/>
    </row>
    <row r="257" spans="1:10" ht="42" x14ac:dyDescent="0.3">
      <c r="A257" s="6" t="s">
        <v>472</v>
      </c>
      <c r="B257" s="6" t="s">
        <v>740</v>
      </c>
      <c r="C257" s="6" t="s">
        <v>761</v>
      </c>
      <c r="D257" s="7">
        <v>46052</v>
      </c>
      <c r="E257" s="8" t="s">
        <v>591</v>
      </c>
      <c r="F257" s="8" t="s">
        <v>50</v>
      </c>
      <c r="G257" s="20" t="s">
        <v>227</v>
      </c>
      <c r="H257" s="9">
        <v>10000</v>
      </c>
      <c r="I257" s="9">
        <v>0</v>
      </c>
      <c r="J257" s="21"/>
    </row>
    <row r="258" spans="1:10" ht="63" x14ac:dyDescent="0.3">
      <c r="A258" s="6" t="s">
        <v>472</v>
      </c>
      <c r="B258" s="6" t="s">
        <v>740</v>
      </c>
      <c r="C258" s="6" t="s">
        <v>761</v>
      </c>
      <c r="D258" s="7">
        <v>46052</v>
      </c>
      <c r="E258" s="8" t="s">
        <v>591</v>
      </c>
      <c r="F258" s="8" t="s">
        <v>635</v>
      </c>
      <c r="G258" s="20" t="s">
        <v>228</v>
      </c>
      <c r="H258" s="9">
        <v>50000</v>
      </c>
      <c r="I258" s="9">
        <v>0</v>
      </c>
      <c r="J258" s="21"/>
    </row>
    <row r="259" spans="1:10" ht="105" x14ac:dyDescent="0.3">
      <c r="A259" s="6" t="s">
        <v>472</v>
      </c>
      <c r="B259" s="6" t="s">
        <v>740</v>
      </c>
      <c r="C259" s="6" t="s">
        <v>761</v>
      </c>
      <c r="D259" s="7">
        <v>46052</v>
      </c>
      <c r="E259" s="8" t="s">
        <v>591</v>
      </c>
      <c r="F259" s="8" t="s">
        <v>751</v>
      </c>
      <c r="G259" s="20" t="s">
        <v>229</v>
      </c>
      <c r="H259" s="9">
        <v>1350</v>
      </c>
      <c r="I259" s="9">
        <v>0</v>
      </c>
      <c r="J259" s="21"/>
    </row>
    <row r="260" spans="1:10" ht="42" x14ac:dyDescent="0.3">
      <c r="A260" s="6" t="s">
        <v>472</v>
      </c>
      <c r="B260" s="6" t="s">
        <v>740</v>
      </c>
      <c r="C260" s="6" t="s">
        <v>761</v>
      </c>
      <c r="D260" s="7">
        <v>46058</v>
      </c>
      <c r="E260" s="8" t="s">
        <v>591</v>
      </c>
      <c r="F260" s="8" t="s">
        <v>195</v>
      </c>
      <c r="G260" s="20" t="s">
        <v>453</v>
      </c>
      <c r="H260" s="9">
        <v>35000</v>
      </c>
      <c r="I260" s="9">
        <v>0</v>
      </c>
      <c r="J260" s="21"/>
    </row>
    <row r="261" spans="1:10" ht="63" x14ac:dyDescent="0.3">
      <c r="A261" s="6" t="s">
        <v>472</v>
      </c>
      <c r="B261" s="6" t="s">
        <v>740</v>
      </c>
      <c r="C261" s="6" t="s">
        <v>761</v>
      </c>
      <c r="D261" s="7">
        <v>46058</v>
      </c>
      <c r="E261" s="8" t="s">
        <v>591</v>
      </c>
      <c r="F261" s="8" t="s">
        <v>113</v>
      </c>
      <c r="G261" s="20" t="s">
        <v>230</v>
      </c>
      <c r="H261" s="9">
        <v>57250</v>
      </c>
      <c r="I261" s="9">
        <v>0</v>
      </c>
      <c r="J261" s="21"/>
    </row>
    <row r="262" spans="1:10" ht="84" x14ac:dyDescent="0.3">
      <c r="A262" s="6" t="s">
        <v>472</v>
      </c>
      <c r="B262" s="6" t="s">
        <v>740</v>
      </c>
      <c r="C262" s="6" t="s">
        <v>761</v>
      </c>
      <c r="D262" s="7">
        <v>46058</v>
      </c>
      <c r="E262" s="8" t="s">
        <v>591</v>
      </c>
      <c r="F262" s="8" t="s">
        <v>113</v>
      </c>
      <c r="G262" s="20" t="s">
        <v>231</v>
      </c>
      <c r="H262" s="9">
        <v>22750</v>
      </c>
      <c r="I262" s="9">
        <v>0</v>
      </c>
      <c r="J262" s="21"/>
    </row>
    <row r="263" spans="1:10" ht="21" x14ac:dyDescent="0.3">
      <c r="A263" s="6" t="s">
        <v>472</v>
      </c>
      <c r="B263" s="6" t="s">
        <v>740</v>
      </c>
      <c r="C263" s="6" t="s">
        <v>761</v>
      </c>
      <c r="D263" s="7">
        <v>46058</v>
      </c>
      <c r="E263" s="8" t="s">
        <v>591</v>
      </c>
      <c r="F263" s="8" t="s">
        <v>438</v>
      </c>
      <c r="G263" s="20" t="s">
        <v>503</v>
      </c>
      <c r="H263" s="9">
        <v>15000</v>
      </c>
      <c r="I263" s="9">
        <v>0</v>
      </c>
      <c r="J263" s="21"/>
    </row>
    <row r="264" spans="1:10" ht="42" x14ac:dyDescent="0.3">
      <c r="A264" s="6" t="s">
        <v>472</v>
      </c>
      <c r="B264" s="6" t="s">
        <v>740</v>
      </c>
      <c r="C264" s="6" t="s">
        <v>761</v>
      </c>
      <c r="D264" s="7">
        <v>46058</v>
      </c>
      <c r="E264" s="8" t="s">
        <v>591</v>
      </c>
      <c r="F264" s="8" t="s">
        <v>94</v>
      </c>
      <c r="G264" s="20" t="s">
        <v>232</v>
      </c>
      <c r="H264" s="9">
        <v>10000</v>
      </c>
      <c r="I264" s="9">
        <v>0</v>
      </c>
      <c r="J264" s="21"/>
    </row>
    <row r="265" spans="1:10" ht="63" x14ac:dyDescent="0.3">
      <c r="A265" s="6" t="s">
        <v>472</v>
      </c>
      <c r="B265" s="6" t="s">
        <v>740</v>
      </c>
      <c r="C265" s="6" t="s">
        <v>761</v>
      </c>
      <c r="D265" s="7">
        <v>46058</v>
      </c>
      <c r="E265" s="8" t="s">
        <v>591</v>
      </c>
      <c r="F265" s="8" t="s">
        <v>414</v>
      </c>
      <c r="G265" s="20" t="s">
        <v>233</v>
      </c>
      <c r="H265" s="9">
        <v>20000</v>
      </c>
      <c r="I265" s="9">
        <v>0</v>
      </c>
      <c r="J265" s="21"/>
    </row>
    <row r="266" spans="1:10" ht="63" x14ac:dyDescent="0.3">
      <c r="A266" s="6" t="s">
        <v>472</v>
      </c>
      <c r="B266" s="6" t="s">
        <v>740</v>
      </c>
      <c r="C266" s="6" t="s">
        <v>761</v>
      </c>
      <c r="D266" s="7">
        <v>46058</v>
      </c>
      <c r="E266" s="8" t="s">
        <v>591</v>
      </c>
      <c r="F266" s="8" t="s">
        <v>635</v>
      </c>
      <c r="G266" s="20" t="s">
        <v>234</v>
      </c>
      <c r="H266" s="9">
        <v>20000</v>
      </c>
      <c r="I266" s="9">
        <v>0</v>
      </c>
      <c r="J266" s="21"/>
    </row>
    <row r="267" spans="1:10" ht="42" x14ac:dyDescent="0.3">
      <c r="A267" s="6" t="s">
        <v>472</v>
      </c>
      <c r="B267" s="6" t="s">
        <v>740</v>
      </c>
      <c r="C267" s="6" t="s">
        <v>761</v>
      </c>
      <c r="D267" s="7">
        <v>46058</v>
      </c>
      <c r="E267" s="8" t="s">
        <v>591</v>
      </c>
      <c r="F267" s="8" t="s">
        <v>50</v>
      </c>
      <c r="G267" s="20" t="s">
        <v>235</v>
      </c>
      <c r="H267" s="9">
        <v>7000</v>
      </c>
      <c r="I267" s="9">
        <v>0</v>
      </c>
      <c r="J267" s="21"/>
    </row>
    <row r="268" spans="1:10" ht="21" x14ac:dyDescent="0.3">
      <c r="A268" s="6" t="s">
        <v>472</v>
      </c>
      <c r="B268" s="6" t="s">
        <v>740</v>
      </c>
      <c r="C268" s="6" t="s">
        <v>761</v>
      </c>
      <c r="D268" s="7">
        <v>46058</v>
      </c>
      <c r="E268" s="8" t="s">
        <v>591</v>
      </c>
      <c r="F268" s="8" t="s">
        <v>754</v>
      </c>
      <c r="G268" s="20" t="s">
        <v>236</v>
      </c>
      <c r="H268" s="9">
        <v>50000</v>
      </c>
      <c r="I268" s="9">
        <v>0</v>
      </c>
      <c r="J268" s="21"/>
    </row>
    <row r="269" spans="1:10" ht="42" x14ac:dyDescent="0.3">
      <c r="A269" s="6" t="s">
        <v>472</v>
      </c>
      <c r="B269" s="6" t="s">
        <v>740</v>
      </c>
      <c r="C269" s="6" t="s">
        <v>761</v>
      </c>
      <c r="D269" s="7">
        <v>46058</v>
      </c>
      <c r="E269" s="8" t="s">
        <v>591</v>
      </c>
      <c r="F269" s="8" t="s">
        <v>385</v>
      </c>
      <c r="G269" s="20" t="s">
        <v>454</v>
      </c>
      <c r="H269" s="9">
        <v>6650</v>
      </c>
      <c r="I269" s="9">
        <v>0</v>
      </c>
      <c r="J269" s="21"/>
    </row>
    <row r="270" spans="1:10" ht="21" x14ac:dyDescent="0.3">
      <c r="A270" s="6" t="s">
        <v>472</v>
      </c>
      <c r="B270" s="6" t="s">
        <v>740</v>
      </c>
      <c r="C270" s="6" t="s">
        <v>761</v>
      </c>
      <c r="D270" s="7">
        <v>46058</v>
      </c>
      <c r="E270" s="8" t="s">
        <v>591</v>
      </c>
      <c r="F270" s="8" t="s">
        <v>653</v>
      </c>
      <c r="G270" s="20" t="s">
        <v>237</v>
      </c>
      <c r="H270" s="9">
        <v>2500</v>
      </c>
      <c r="I270" s="9">
        <v>0</v>
      </c>
      <c r="J270" s="21"/>
    </row>
    <row r="271" spans="1:10" ht="21" x14ac:dyDescent="0.3">
      <c r="A271" s="6" t="s">
        <v>472</v>
      </c>
      <c r="B271" s="6" t="s">
        <v>740</v>
      </c>
      <c r="C271" s="6" t="s">
        <v>761</v>
      </c>
      <c r="D271" s="7">
        <v>46058</v>
      </c>
      <c r="E271" s="8" t="s">
        <v>591</v>
      </c>
      <c r="F271" s="8" t="s">
        <v>653</v>
      </c>
      <c r="G271" s="20" t="s">
        <v>238</v>
      </c>
      <c r="H271" s="9">
        <v>1850</v>
      </c>
      <c r="I271" s="9">
        <v>0</v>
      </c>
      <c r="J271" s="21"/>
    </row>
    <row r="272" spans="1:10" ht="63" x14ac:dyDescent="0.3">
      <c r="A272" s="6" t="s">
        <v>472</v>
      </c>
      <c r="B272" s="6" t="s">
        <v>740</v>
      </c>
      <c r="C272" s="6" t="s">
        <v>761</v>
      </c>
      <c r="D272" s="7">
        <v>46058</v>
      </c>
      <c r="E272" s="8" t="s">
        <v>591</v>
      </c>
      <c r="F272" s="8" t="s">
        <v>653</v>
      </c>
      <c r="G272" s="20" t="s">
        <v>239</v>
      </c>
      <c r="H272" s="9">
        <v>8750</v>
      </c>
      <c r="I272" s="9">
        <v>0</v>
      </c>
      <c r="J272" s="21"/>
    </row>
    <row r="273" spans="1:10" ht="42" x14ac:dyDescent="0.3">
      <c r="A273" s="6" t="s">
        <v>472</v>
      </c>
      <c r="B273" s="6" t="s">
        <v>740</v>
      </c>
      <c r="C273" s="6" t="s">
        <v>761</v>
      </c>
      <c r="D273" s="7">
        <v>46058</v>
      </c>
      <c r="E273" s="8" t="s">
        <v>591</v>
      </c>
      <c r="F273" s="8" t="s">
        <v>113</v>
      </c>
      <c r="G273" s="20" t="s">
        <v>240</v>
      </c>
      <c r="H273" s="9">
        <v>2500</v>
      </c>
      <c r="I273" s="9">
        <v>0</v>
      </c>
      <c r="J273" s="21"/>
    </row>
    <row r="274" spans="1:10" ht="42" x14ac:dyDescent="0.3">
      <c r="A274" s="6" t="s">
        <v>472</v>
      </c>
      <c r="B274" s="6" t="s">
        <v>740</v>
      </c>
      <c r="C274" s="6" t="s">
        <v>761</v>
      </c>
      <c r="D274" s="7">
        <v>46058</v>
      </c>
      <c r="E274" s="8" t="s">
        <v>591</v>
      </c>
      <c r="F274" s="8" t="s">
        <v>727</v>
      </c>
      <c r="G274" s="20" t="s">
        <v>241</v>
      </c>
      <c r="H274" s="9">
        <v>2000</v>
      </c>
      <c r="I274" s="9">
        <v>0</v>
      </c>
      <c r="J274" s="21"/>
    </row>
    <row r="275" spans="1:10" ht="63" x14ac:dyDescent="0.3">
      <c r="A275" s="6" t="s">
        <v>472</v>
      </c>
      <c r="B275" s="6" t="s">
        <v>740</v>
      </c>
      <c r="C275" s="6" t="s">
        <v>761</v>
      </c>
      <c r="D275" s="7">
        <v>46058</v>
      </c>
      <c r="E275" s="8" t="s">
        <v>591</v>
      </c>
      <c r="F275" s="8" t="s">
        <v>717</v>
      </c>
      <c r="G275" s="20" t="s">
        <v>242</v>
      </c>
      <c r="H275" s="9">
        <v>950</v>
      </c>
      <c r="I275" s="9">
        <v>0</v>
      </c>
      <c r="J275" s="21"/>
    </row>
    <row r="276" spans="1:10" ht="84" x14ac:dyDescent="0.3">
      <c r="A276" s="6" t="s">
        <v>472</v>
      </c>
      <c r="B276" s="6" t="s">
        <v>740</v>
      </c>
      <c r="C276" s="6" t="s">
        <v>761</v>
      </c>
      <c r="D276" s="7">
        <v>46063</v>
      </c>
      <c r="E276" s="8" t="s">
        <v>591</v>
      </c>
      <c r="F276" s="8" t="s">
        <v>752</v>
      </c>
      <c r="G276" s="20" t="s">
        <v>389</v>
      </c>
      <c r="H276" s="9">
        <v>9000</v>
      </c>
      <c r="I276" s="9">
        <v>0</v>
      </c>
      <c r="J276" s="21"/>
    </row>
    <row r="277" spans="1:10" ht="42" x14ac:dyDescent="0.3">
      <c r="A277" s="6" t="s">
        <v>472</v>
      </c>
      <c r="B277" s="6" t="s">
        <v>740</v>
      </c>
      <c r="C277" s="6" t="s">
        <v>761</v>
      </c>
      <c r="D277" s="7">
        <v>46063</v>
      </c>
      <c r="E277" s="8" t="s">
        <v>591</v>
      </c>
      <c r="F277" s="8" t="s">
        <v>752</v>
      </c>
      <c r="G277" s="20" t="s">
        <v>390</v>
      </c>
      <c r="H277" s="9">
        <v>12000</v>
      </c>
      <c r="I277" s="9">
        <v>0</v>
      </c>
      <c r="J277" s="21"/>
    </row>
    <row r="278" spans="1:10" ht="42" x14ac:dyDescent="0.3">
      <c r="A278" s="6" t="s">
        <v>472</v>
      </c>
      <c r="B278" s="6" t="s">
        <v>740</v>
      </c>
      <c r="C278" s="6" t="s">
        <v>761</v>
      </c>
      <c r="D278" s="7">
        <v>46063</v>
      </c>
      <c r="E278" s="8" t="s">
        <v>591</v>
      </c>
      <c r="F278" s="8" t="s">
        <v>752</v>
      </c>
      <c r="G278" s="20" t="s">
        <v>391</v>
      </c>
      <c r="H278" s="9">
        <v>1450</v>
      </c>
      <c r="I278" s="9">
        <v>0</v>
      </c>
      <c r="J278" s="21"/>
    </row>
    <row r="279" spans="1:10" ht="84" x14ac:dyDescent="0.3">
      <c r="A279" s="6" t="s">
        <v>472</v>
      </c>
      <c r="B279" s="6" t="s">
        <v>740</v>
      </c>
      <c r="C279" s="6" t="s">
        <v>761</v>
      </c>
      <c r="D279" s="7">
        <v>46066</v>
      </c>
      <c r="E279" s="8" t="s">
        <v>591</v>
      </c>
      <c r="F279" s="8" t="s">
        <v>113</v>
      </c>
      <c r="G279" s="20" t="s">
        <v>243</v>
      </c>
      <c r="H279" s="9">
        <v>20100</v>
      </c>
      <c r="I279" s="9">
        <v>0</v>
      </c>
      <c r="J279" s="21"/>
    </row>
    <row r="280" spans="1:10" ht="21" x14ac:dyDescent="0.3">
      <c r="A280" s="6" t="s">
        <v>472</v>
      </c>
      <c r="B280" s="6" t="s">
        <v>740</v>
      </c>
      <c r="C280" s="6" t="s">
        <v>761</v>
      </c>
      <c r="D280" s="7">
        <v>46066</v>
      </c>
      <c r="E280" s="8" t="s">
        <v>591</v>
      </c>
      <c r="F280" s="8" t="s">
        <v>438</v>
      </c>
      <c r="G280" s="20" t="s">
        <v>504</v>
      </c>
      <c r="H280" s="9">
        <v>15000</v>
      </c>
      <c r="I280" s="9">
        <v>0</v>
      </c>
      <c r="J280" s="21"/>
    </row>
    <row r="281" spans="1:10" ht="42" x14ac:dyDescent="0.3">
      <c r="A281" s="6" t="s">
        <v>472</v>
      </c>
      <c r="B281" s="6" t="s">
        <v>740</v>
      </c>
      <c r="C281" s="6" t="s">
        <v>761</v>
      </c>
      <c r="D281" s="7">
        <v>46066</v>
      </c>
      <c r="E281" s="8" t="s">
        <v>591</v>
      </c>
      <c r="F281" s="8" t="s">
        <v>94</v>
      </c>
      <c r="G281" s="20" t="s">
        <v>244</v>
      </c>
      <c r="H281" s="9">
        <v>5000</v>
      </c>
      <c r="I281" s="9">
        <v>0</v>
      </c>
      <c r="J281" s="21"/>
    </row>
    <row r="282" spans="1:10" ht="42" x14ac:dyDescent="0.3">
      <c r="A282" s="6" t="s">
        <v>472</v>
      </c>
      <c r="B282" s="6" t="s">
        <v>740</v>
      </c>
      <c r="C282" s="6" t="s">
        <v>761</v>
      </c>
      <c r="D282" s="7">
        <v>46066</v>
      </c>
      <c r="E282" s="8" t="s">
        <v>591</v>
      </c>
      <c r="F282" s="8" t="s">
        <v>717</v>
      </c>
      <c r="G282" s="20" t="s">
        <v>245</v>
      </c>
      <c r="H282" s="9">
        <v>1400</v>
      </c>
      <c r="I282" s="9">
        <v>0</v>
      </c>
      <c r="J282" s="21"/>
    </row>
    <row r="283" spans="1:10" ht="42" x14ac:dyDescent="0.3">
      <c r="A283" s="6" t="s">
        <v>472</v>
      </c>
      <c r="B283" s="6" t="s">
        <v>740</v>
      </c>
      <c r="C283" s="6" t="s">
        <v>761</v>
      </c>
      <c r="D283" s="7">
        <v>46066</v>
      </c>
      <c r="E283" s="8" t="s">
        <v>591</v>
      </c>
      <c r="F283" s="8" t="s">
        <v>653</v>
      </c>
      <c r="G283" s="20" t="s">
        <v>246</v>
      </c>
      <c r="H283" s="9">
        <v>4500</v>
      </c>
      <c r="I283" s="9">
        <v>0</v>
      </c>
      <c r="J283" s="21"/>
    </row>
    <row r="284" spans="1:10" ht="42" x14ac:dyDescent="0.3">
      <c r="A284" s="6" t="s">
        <v>472</v>
      </c>
      <c r="B284" s="6" t="s">
        <v>740</v>
      </c>
      <c r="C284" s="6" t="s">
        <v>761</v>
      </c>
      <c r="D284" s="7">
        <v>46066</v>
      </c>
      <c r="E284" s="8" t="s">
        <v>591</v>
      </c>
      <c r="F284" s="8" t="s">
        <v>653</v>
      </c>
      <c r="G284" s="20" t="s">
        <v>247</v>
      </c>
      <c r="H284" s="9">
        <v>2400</v>
      </c>
      <c r="I284" s="9">
        <v>0</v>
      </c>
      <c r="J284" s="21"/>
    </row>
    <row r="285" spans="1:10" ht="42" x14ac:dyDescent="0.3">
      <c r="A285" s="6" t="s">
        <v>472</v>
      </c>
      <c r="B285" s="6" t="s">
        <v>740</v>
      </c>
      <c r="C285" s="6" t="s">
        <v>761</v>
      </c>
      <c r="D285" s="7">
        <v>46066</v>
      </c>
      <c r="E285" s="8" t="s">
        <v>591</v>
      </c>
      <c r="F285" s="8" t="s">
        <v>751</v>
      </c>
      <c r="G285" s="20" t="s">
        <v>248</v>
      </c>
      <c r="H285" s="9">
        <v>650</v>
      </c>
      <c r="I285" s="9">
        <v>0</v>
      </c>
      <c r="J285" s="21"/>
    </row>
    <row r="286" spans="1:10" ht="42" x14ac:dyDescent="0.3">
      <c r="A286" s="6" t="s">
        <v>472</v>
      </c>
      <c r="B286" s="6" t="s">
        <v>740</v>
      </c>
      <c r="C286" s="6" t="s">
        <v>761</v>
      </c>
      <c r="D286" s="7">
        <v>46066</v>
      </c>
      <c r="E286" s="8" t="s">
        <v>591</v>
      </c>
      <c r="F286" s="8" t="s">
        <v>727</v>
      </c>
      <c r="G286" s="20" t="s">
        <v>249</v>
      </c>
      <c r="H286" s="9">
        <v>1500</v>
      </c>
      <c r="I286" s="9">
        <v>0</v>
      </c>
      <c r="J286" s="21"/>
    </row>
    <row r="287" spans="1:10" ht="42" x14ac:dyDescent="0.3">
      <c r="A287" s="6" t="s">
        <v>472</v>
      </c>
      <c r="B287" s="6" t="s">
        <v>740</v>
      </c>
      <c r="C287" s="6" t="s">
        <v>761</v>
      </c>
      <c r="D287" s="7">
        <v>46066</v>
      </c>
      <c r="E287" s="8" t="s">
        <v>591</v>
      </c>
      <c r="F287" s="8" t="s">
        <v>385</v>
      </c>
      <c r="G287" s="20" t="s">
        <v>455</v>
      </c>
      <c r="H287" s="9">
        <v>34450</v>
      </c>
      <c r="I287" s="9">
        <v>0</v>
      </c>
      <c r="J287" s="21"/>
    </row>
    <row r="288" spans="1:10" ht="105" x14ac:dyDescent="0.3">
      <c r="A288" s="6" t="s">
        <v>472</v>
      </c>
      <c r="B288" s="6" t="s">
        <v>740</v>
      </c>
      <c r="C288" s="6" t="s">
        <v>761</v>
      </c>
      <c r="D288" s="7">
        <v>46066</v>
      </c>
      <c r="E288" s="8" t="s">
        <v>591</v>
      </c>
      <c r="F288" s="8" t="s">
        <v>50</v>
      </c>
      <c r="G288" s="20" t="s">
        <v>250</v>
      </c>
      <c r="H288" s="9">
        <v>13000</v>
      </c>
      <c r="I288" s="9">
        <v>0</v>
      </c>
      <c r="J288" s="21"/>
    </row>
    <row r="289" spans="1:10" ht="42" x14ac:dyDescent="0.3">
      <c r="A289" s="6" t="s">
        <v>472</v>
      </c>
      <c r="B289" s="6" t="s">
        <v>740</v>
      </c>
      <c r="C289" s="6" t="s">
        <v>761</v>
      </c>
      <c r="D289" s="7">
        <v>46066</v>
      </c>
      <c r="E289" s="8" t="s">
        <v>591</v>
      </c>
      <c r="F289" s="8" t="s">
        <v>465</v>
      </c>
      <c r="G289" s="20" t="s">
        <v>456</v>
      </c>
      <c r="H289" s="9">
        <v>1200</v>
      </c>
      <c r="I289" s="9">
        <v>0</v>
      </c>
      <c r="J289" s="21"/>
    </row>
    <row r="290" spans="1:10" ht="21" x14ac:dyDescent="0.3">
      <c r="A290" s="6" t="s">
        <v>472</v>
      </c>
      <c r="B290" s="6" t="s">
        <v>740</v>
      </c>
      <c r="C290" s="6" t="s">
        <v>761</v>
      </c>
      <c r="D290" s="7">
        <v>46074</v>
      </c>
      <c r="E290" s="8" t="s">
        <v>591</v>
      </c>
      <c r="F290" s="8" t="s">
        <v>438</v>
      </c>
      <c r="G290" s="20" t="s">
        <v>505</v>
      </c>
      <c r="H290" s="9">
        <v>15000</v>
      </c>
      <c r="I290" s="9">
        <v>0</v>
      </c>
      <c r="J290" s="21"/>
    </row>
    <row r="291" spans="1:10" ht="42" x14ac:dyDescent="0.3">
      <c r="A291" s="6" t="s">
        <v>472</v>
      </c>
      <c r="B291" s="6" t="s">
        <v>740</v>
      </c>
      <c r="C291" s="6" t="s">
        <v>761</v>
      </c>
      <c r="D291" s="7">
        <v>46074</v>
      </c>
      <c r="E291" s="8" t="s">
        <v>591</v>
      </c>
      <c r="F291" s="8" t="s">
        <v>94</v>
      </c>
      <c r="G291" s="20" t="s">
        <v>352</v>
      </c>
      <c r="H291" s="9">
        <v>10000</v>
      </c>
      <c r="I291" s="9">
        <v>0</v>
      </c>
      <c r="J291" s="21"/>
    </row>
    <row r="292" spans="1:10" ht="63" x14ac:dyDescent="0.3">
      <c r="A292" s="6" t="s">
        <v>472</v>
      </c>
      <c r="B292" s="6" t="s">
        <v>740</v>
      </c>
      <c r="C292" s="6" t="s">
        <v>761</v>
      </c>
      <c r="D292" s="7">
        <v>46074</v>
      </c>
      <c r="E292" s="8" t="s">
        <v>591</v>
      </c>
      <c r="F292" s="8" t="s">
        <v>653</v>
      </c>
      <c r="G292" s="20" t="s">
        <v>353</v>
      </c>
      <c r="H292" s="9">
        <v>73000</v>
      </c>
      <c r="I292" s="9">
        <v>0</v>
      </c>
      <c r="J292" s="21"/>
    </row>
    <row r="293" spans="1:10" ht="21" x14ac:dyDescent="0.3">
      <c r="A293" s="6" t="s">
        <v>472</v>
      </c>
      <c r="B293" s="6" t="s">
        <v>740</v>
      </c>
      <c r="C293" s="6" t="s">
        <v>761</v>
      </c>
      <c r="D293" s="7">
        <v>46074</v>
      </c>
      <c r="E293" s="8" t="s">
        <v>591</v>
      </c>
      <c r="F293" s="8" t="s">
        <v>653</v>
      </c>
      <c r="G293" s="20" t="s">
        <v>354</v>
      </c>
      <c r="H293" s="9">
        <v>200</v>
      </c>
      <c r="I293" s="9">
        <v>0</v>
      </c>
      <c r="J293" s="21"/>
    </row>
    <row r="294" spans="1:10" ht="42" x14ac:dyDescent="0.3">
      <c r="A294" s="6" t="s">
        <v>472</v>
      </c>
      <c r="B294" s="6" t="s">
        <v>740</v>
      </c>
      <c r="C294" s="6" t="s">
        <v>761</v>
      </c>
      <c r="D294" s="7">
        <v>46074</v>
      </c>
      <c r="E294" s="8" t="s">
        <v>591</v>
      </c>
      <c r="F294" s="8" t="s">
        <v>653</v>
      </c>
      <c r="G294" s="20" t="s">
        <v>355</v>
      </c>
      <c r="H294" s="9">
        <v>6000</v>
      </c>
      <c r="I294" s="9">
        <v>0</v>
      </c>
      <c r="J294" s="21"/>
    </row>
    <row r="295" spans="1:10" ht="42" x14ac:dyDescent="0.3">
      <c r="A295" s="6" t="s">
        <v>472</v>
      </c>
      <c r="B295" s="6" t="s">
        <v>740</v>
      </c>
      <c r="C295" s="6" t="s">
        <v>761</v>
      </c>
      <c r="D295" s="7">
        <v>46074</v>
      </c>
      <c r="E295" s="8" t="s">
        <v>591</v>
      </c>
      <c r="F295" s="8" t="s">
        <v>653</v>
      </c>
      <c r="G295" s="20" t="s">
        <v>356</v>
      </c>
      <c r="H295" s="9">
        <v>6000</v>
      </c>
      <c r="I295" s="9">
        <v>0</v>
      </c>
      <c r="J295" s="21"/>
    </row>
    <row r="296" spans="1:10" ht="21" x14ac:dyDescent="0.3">
      <c r="A296" s="6" t="s">
        <v>472</v>
      </c>
      <c r="B296" s="6" t="s">
        <v>740</v>
      </c>
      <c r="C296" s="6" t="s">
        <v>761</v>
      </c>
      <c r="D296" s="7">
        <v>46074</v>
      </c>
      <c r="E296" s="8" t="s">
        <v>591</v>
      </c>
      <c r="F296" s="8" t="s">
        <v>752</v>
      </c>
      <c r="G296" s="20" t="s">
        <v>357</v>
      </c>
      <c r="H296" s="9">
        <v>1080</v>
      </c>
      <c r="I296" s="9">
        <v>0</v>
      </c>
      <c r="J296" s="21"/>
    </row>
    <row r="297" spans="1:10" ht="42" x14ac:dyDescent="0.3">
      <c r="A297" s="6" t="s">
        <v>472</v>
      </c>
      <c r="B297" s="6" t="s">
        <v>740</v>
      </c>
      <c r="C297" s="6" t="s">
        <v>761</v>
      </c>
      <c r="D297" s="7">
        <v>46075</v>
      </c>
      <c r="E297" s="8" t="s">
        <v>591</v>
      </c>
      <c r="F297" s="8" t="s">
        <v>752</v>
      </c>
      <c r="G297" s="20" t="s">
        <v>358</v>
      </c>
      <c r="H297" s="9">
        <v>1080</v>
      </c>
      <c r="I297" s="9">
        <v>0</v>
      </c>
      <c r="J297" s="21"/>
    </row>
    <row r="298" spans="1:10" ht="21" x14ac:dyDescent="0.3">
      <c r="A298" s="6" t="s">
        <v>472</v>
      </c>
      <c r="B298" s="6" t="s">
        <v>740</v>
      </c>
      <c r="C298" s="6" t="s">
        <v>761</v>
      </c>
      <c r="D298" s="7">
        <v>46081</v>
      </c>
      <c r="E298" s="8" t="s">
        <v>591</v>
      </c>
      <c r="F298" s="8" t="s">
        <v>438</v>
      </c>
      <c r="G298" s="20" t="s">
        <v>506</v>
      </c>
      <c r="H298" s="9">
        <v>10000</v>
      </c>
      <c r="I298" s="9">
        <v>0</v>
      </c>
      <c r="J298" s="21"/>
    </row>
    <row r="299" spans="1:10" ht="21" x14ac:dyDescent="0.3">
      <c r="A299" s="6" t="s">
        <v>472</v>
      </c>
      <c r="B299" s="6" t="s">
        <v>740</v>
      </c>
      <c r="C299" s="6" t="s">
        <v>761</v>
      </c>
      <c r="D299" s="7">
        <v>46081</v>
      </c>
      <c r="E299" s="8" t="s">
        <v>591</v>
      </c>
      <c r="F299" s="8" t="s">
        <v>754</v>
      </c>
      <c r="G299" s="20" t="s">
        <v>359</v>
      </c>
      <c r="H299" s="9">
        <v>25000</v>
      </c>
      <c r="I299" s="9">
        <v>0</v>
      </c>
      <c r="J299" s="21"/>
    </row>
    <row r="300" spans="1:10" ht="21" x14ac:dyDescent="0.3">
      <c r="A300" s="6" t="s">
        <v>472</v>
      </c>
      <c r="B300" s="6" t="s">
        <v>740</v>
      </c>
      <c r="C300" s="6" t="s">
        <v>761</v>
      </c>
      <c r="D300" s="7">
        <v>46081</v>
      </c>
      <c r="E300" s="8" t="s">
        <v>591</v>
      </c>
      <c r="F300" s="8" t="s">
        <v>582</v>
      </c>
      <c r="G300" s="20" t="s">
        <v>360</v>
      </c>
      <c r="H300" s="9">
        <v>450</v>
      </c>
      <c r="I300" s="9">
        <v>0</v>
      </c>
      <c r="J300" s="21"/>
    </row>
    <row r="301" spans="1:10" ht="42" x14ac:dyDescent="0.3">
      <c r="A301" s="6" t="s">
        <v>472</v>
      </c>
      <c r="B301" s="6" t="s">
        <v>740</v>
      </c>
      <c r="C301" s="6" t="s">
        <v>761</v>
      </c>
      <c r="D301" s="7">
        <v>46081</v>
      </c>
      <c r="E301" s="8" t="s">
        <v>591</v>
      </c>
      <c r="F301" s="8" t="s">
        <v>653</v>
      </c>
      <c r="G301" s="20" t="s">
        <v>361</v>
      </c>
      <c r="H301" s="9">
        <v>700</v>
      </c>
      <c r="I301" s="9">
        <v>0</v>
      </c>
      <c r="J301" s="21"/>
    </row>
    <row r="302" spans="1:10" ht="63" x14ac:dyDescent="0.3">
      <c r="A302" s="6" t="s">
        <v>472</v>
      </c>
      <c r="B302" s="6" t="s">
        <v>740</v>
      </c>
      <c r="C302" s="6" t="s">
        <v>761</v>
      </c>
      <c r="D302" s="7">
        <v>46081</v>
      </c>
      <c r="E302" s="8" t="s">
        <v>591</v>
      </c>
      <c r="F302" s="8" t="s">
        <v>414</v>
      </c>
      <c r="G302" s="20" t="s">
        <v>362</v>
      </c>
      <c r="H302" s="9">
        <v>20000</v>
      </c>
      <c r="I302" s="9">
        <v>0</v>
      </c>
      <c r="J302" s="21"/>
    </row>
    <row r="303" spans="1:10" ht="42" x14ac:dyDescent="0.3">
      <c r="A303" s="6" t="s">
        <v>472</v>
      </c>
      <c r="B303" s="6" t="s">
        <v>740</v>
      </c>
      <c r="C303" s="6" t="s">
        <v>761</v>
      </c>
      <c r="D303" s="7">
        <v>46081</v>
      </c>
      <c r="E303" s="8" t="s">
        <v>591</v>
      </c>
      <c r="F303" s="8" t="s">
        <v>635</v>
      </c>
      <c r="G303" s="20" t="s">
        <v>363</v>
      </c>
      <c r="H303" s="9">
        <v>23000</v>
      </c>
      <c r="I303" s="9">
        <v>0</v>
      </c>
      <c r="J303" s="21"/>
    </row>
    <row r="304" spans="1:10" ht="63" x14ac:dyDescent="0.3">
      <c r="A304" s="6" t="s">
        <v>472</v>
      </c>
      <c r="B304" s="6" t="s">
        <v>740</v>
      </c>
      <c r="C304" s="6" t="s">
        <v>761</v>
      </c>
      <c r="D304" s="7">
        <v>46082</v>
      </c>
      <c r="E304" s="8" t="s">
        <v>591</v>
      </c>
      <c r="F304" s="8" t="s">
        <v>635</v>
      </c>
      <c r="G304" s="20" t="s">
        <v>364</v>
      </c>
      <c r="H304" s="9">
        <v>16000</v>
      </c>
      <c r="I304" s="9">
        <v>0</v>
      </c>
      <c r="J304" s="21"/>
    </row>
    <row r="305" spans="1:10" ht="42" x14ac:dyDescent="0.3">
      <c r="A305" s="6" t="s">
        <v>472</v>
      </c>
      <c r="B305" s="6" t="s">
        <v>740</v>
      </c>
      <c r="C305" s="6" t="s">
        <v>761</v>
      </c>
      <c r="D305" s="7">
        <v>46082</v>
      </c>
      <c r="E305" s="8" t="s">
        <v>591</v>
      </c>
      <c r="F305" s="8" t="s">
        <v>465</v>
      </c>
      <c r="G305" s="20" t="s">
        <v>365</v>
      </c>
      <c r="H305" s="9">
        <v>1200</v>
      </c>
      <c r="I305" s="9">
        <v>0</v>
      </c>
      <c r="J305" s="21"/>
    </row>
    <row r="306" spans="1:10" ht="42" x14ac:dyDescent="0.3">
      <c r="A306" s="6" t="s">
        <v>472</v>
      </c>
      <c r="B306" s="6" t="s">
        <v>740</v>
      </c>
      <c r="C306" s="6" t="s">
        <v>761</v>
      </c>
      <c r="D306" s="7">
        <v>46082</v>
      </c>
      <c r="E306" s="8" t="s">
        <v>591</v>
      </c>
      <c r="F306" s="8" t="s">
        <v>464</v>
      </c>
      <c r="G306" s="20" t="s">
        <v>366</v>
      </c>
      <c r="H306" s="9">
        <v>750</v>
      </c>
      <c r="I306" s="9">
        <v>0</v>
      </c>
      <c r="J306" s="21"/>
    </row>
    <row r="307" spans="1:10" ht="42" x14ac:dyDescent="0.3">
      <c r="A307" s="6" t="s">
        <v>472</v>
      </c>
      <c r="B307" s="6" t="s">
        <v>740</v>
      </c>
      <c r="C307" s="6" t="s">
        <v>761</v>
      </c>
      <c r="D307" s="7">
        <v>46087</v>
      </c>
      <c r="E307" s="8" t="s">
        <v>591</v>
      </c>
      <c r="F307" s="8" t="s">
        <v>195</v>
      </c>
      <c r="G307" s="20" t="s">
        <v>457</v>
      </c>
      <c r="H307" s="9">
        <v>20000</v>
      </c>
      <c r="I307" s="9">
        <v>0</v>
      </c>
      <c r="J307" s="21"/>
    </row>
    <row r="308" spans="1:10" ht="42" x14ac:dyDescent="0.3">
      <c r="A308" s="6" t="s">
        <v>472</v>
      </c>
      <c r="B308" s="6" t="s">
        <v>740</v>
      </c>
      <c r="C308" s="6" t="s">
        <v>761</v>
      </c>
      <c r="D308" s="7">
        <v>46087</v>
      </c>
      <c r="E308" s="8" t="s">
        <v>591</v>
      </c>
      <c r="F308" s="8" t="s">
        <v>755</v>
      </c>
      <c r="G308" s="20" t="s">
        <v>367</v>
      </c>
      <c r="H308" s="9">
        <v>5000</v>
      </c>
      <c r="I308" s="9">
        <v>0</v>
      </c>
      <c r="J308" s="21"/>
    </row>
    <row r="309" spans="1:10" ht="21" x14ac:dyDescent="0.3">
      <c r="A309" s="6" t="s">
        <v>472</v>
      </c>
      <c r="B309" s="6" t="s">
        <v>740</v>
      </c>
      <c r="C309" s="6" t="s">
        <v>761</v>
      </c>
      <c r="D309" s="7">
        <v>46087</v>
      </c>
      <c r="E309" s="8" t="s">
        <v>591</v>
      </c>
      <c r="F309" s="8" t="s">
        <v>754</v>
      </c>
      <c r="G309" s="20" t="s">
        <v>368</v>
      </c>
      <c r="H309" s="9">
        <v>30000</v>
      </c>
      <c r="I309" s="9">
        <v>0</v>
      </c>
      <c r="J309" s="21"/>
    </row>
    <row r="310" spans="1:10" ht="42" x14ac:dyDescent="0.3">
      <c r="A310" s="6" t="s">
        <v>472</v>
      </c>
      <c r="B310" s="6" t="s">
        <v>740</v>
      </c>
      <c r="C310" s="6" t="s">
        <v>761</v>
      </c>
      <c r="D310" s="7">
        <v>46087</v>
      </c>
      <c r="E310" s="8" t="s">
        <v>591</v>
      </c>
      <c r="F310" s="8" t="s">
        <v>195</v>
      </c>
      <c r="G310" s="20" t="s">
        <v>458</v>
      </c>
      <c r="H310" s="9">
        <v>30000</v>
      </c>
      <c r="I310" s="9">
        <v>0</v>
      </c>
      <c r="J310" s="21"/>
    </row>
    <row r="311" spans="1:10" ht="42" x14ac:dyDescent="0.3">
      <c r="A311" s="6" t="s">
        <v>472</v>
      </c>
      <c r="B311" s="6" t="s">
        <v>740</v>
      </c>
      <c r="C311" s="6" t="s">
        <v>761</v>
      </c>
      <c r="D311" s="7">
        <v>46087</v>
      </c>
      <c r="E311" s="8" t="s">
        <v>591</v>
      </c>
      <c r="F311" s="8" t="s">
        <v>438</v>
      </c>
      <c r="G311" s="20" t="s">
        <v>533</v>
      </c>
      <c r="H311" s="9">
        <v>16000</v>
      </c>
      <c r="I311" s="9">
        <v>0</v>
      </c>
      <c r="J311" s="21"/>
    </row>
    <row r="312" spans="1:10" ht="42" x14ac:dyDescent="0.3">
      <c r="A312" s="6" t="s">
        <v>472</v>
      </c>
      <c r="B312" s="6" t="s">
        <v>740</v>
      </c>
      <c r="C312" s="6" t="s">
        <v>761</v>
      </c>
      <c r="D312" s="7">
        <v>46087</v>
      </c>
      <c r="E312" s="8" t="s">
        <v>591</v>
      </c>
      <c r="F312" s="8" t="s">
        <v>464</v>
      </c>
      <c r="G312" s="20" t="s">
        <v>369</v>
      </c>
      <c r="H312" s="9">
        <v>700</v>
      </c>
      <c r="I312" s="9">
        <v>0</v>
      </c>
      <c r="J312" s="21"/>
    </row>
    <row r="313" spans="1:10" ht="42" x14ac:dyDescent="0.3">
      <c r="A313" s="6" t="s">
        <v>472</v>
      </c>
      <c r="B313" s="6" t="s">
        <v>740</v>
      </c>
      <c r="C313" s="6" t="s">
        <v>761</v>
      </c>
      <c r="D313" s="7">
        <v>46087</v>
      </c>
      <c r="E313" s="8" t="s">
        <v>591</v>
      </c>
      <c r="F313" s="8" t="s">
        <v>59</v>
      </c>
      <c r="G313" s="20" t="s">
        <v>459</v>
      </c>
      <c r="H313" s="9">
        <v>7000</v>
      </c>
      <c r="I313" s="9">
        <v>0</v>
      </c>
      <c r="J313" s="21"/>
    </row>
    <row r="314" spans="1:10" ht="21" x14ac:dyDescent="0.3">
      <c r="A314" s="6" t="s">
        <v>472</v>
      </c>
      <c r="B314" s="6" t="s">
        <v>740</v>
      </c>
      <c r="C314" s="6" t="s">
        <v>761</v>
      </c>
      <c r="D314" s="7">
        <v>46087</v>
      </c>
      <c r="E314" s="8" t="s">
        <v>591</v>
      </c>
      <c r="F314" s="8" t="s">
        <v>385</v>
      </c>
      <c r="G314" s="20" t="s">
        <v>370</v>
      </c>
      <c r="H314" s="9">
        <v>20000</v>
      </c>
      <c r="I314" s="9">
        <v>0</v>
      </c>
      <c r="J314" s="21"/>
    </row>
    <row r="315" spans="1:10" ht="42" x14ac:dyDescent="0.3">
      <c r="A315" s="6" t="s">
        <v>472</v>
      </c>
      <c r="B315" s="6" t="s">
        <v>740</v>
      </c>
      <c r="C315" s="6" t="s">
        <v>761</v>
      </c>
      <c r="D315" s="7">
        <v>46087</v>
      </c>
      <c r="E315" s="8" t="s">
        <v>591</v>
      </c>
      <c r="F315" s="8" t="s">
        <v>94</v>
      </c>
      <c r="G315" s="20" t="s">
        <v>371</v>
      </c>
      <c r="H315" s="9">
        <v>2000</v>
      </c>
      <c r="I315" s="9">
        <v>0</v>
      </c>
      <c r="J315" s="21"/>
    </row>
    <row r="316" spans="1:10" ht="42" x14ac:dyDescent="0.3">
      <c r="A316" s="6" t="s">
        <v>472</v>
      </c>
      <c r="B316" s="6" t="s">
        <v>740</v>
      </c>
      <c r="C316" s="6" t="s">
        <v>761</v>
      </c>
      <c r="D316" s="7">
        <v>46087</v>
      </c>
      <c r="E316" s="8" t="s">
        <v>591</v>
      </c>
      <c r="F316" s="8" t="s">
        <v>414</v>
      </c>
      <c r="G316" s="20" t="s">
        <v>372</v>
      </c>
      <c r="H316" s="9">
        <v>11675</v>
      </c>
      <c r="I316" s="9">
        <v>0</v>
      </c>
      <c r="J316" s="21"/>
    </row>
    <row r="317" spans="1:10" ht="21" x14ac:dyDescent="0.3">
      <c r="A317" s="6" t="s">
        <v>472</v>
      </c>
      <c r="B317" s="6" t="s">
        <v>740</v>
      </c>
      <c r="C317" s="6" t="s">
        <v>761</v>
      </c>
      <c r="D317" s="7">
        <v>46087</v>
      </c>
      <c r="E317" s="8" t="s">
        <v>591</v>
      </c>
      <c r="F317" s="8" t="s">
        <v>149</v>
      </c>
      <c r="G317" s="20" t="s">
        <v>373</v>
      </c>
      <c r="H317" s="9">
        <v>1000</v>
      </c>
      <c r="I317" s="9">
        <v>0</v>
      </c>
      <c r="J317" s="21"/>
    </row>
    <row r="318" spans="1:10" ht="42" x14ac:dyDescent="0.3">
      <c r="A318" s="6" t="s">
        <v>472</v>
      </c>
      <c r="B318" s="6" t="s">
        <v>740</v>
      </c>
      <c r="C318" s="6" t="s">
        <v>761</v>
      </c>
      <c r="D318" s="7">
        <v>46087</v>
      </c>
      <c r="E318" s="8" t="s">
        <v>591</v>
      </c>
      <c r="F318" s="8" t="s">
        <v>385</v>
      </c>
      <c r="G318" s="20" t="s">
        <v>374</v>
      </c>
      <c r="H318" s="9">
        <v>1350</v>
      </c>
      <c r="I318" s="9">
        <v>0</v>
      </c>
      <c r="J318" s="21"/>
    </row>
    <row r="319" spans="1:10" ht="21" x14ac:dyDescent="0.3">
      <c r="A319" s="6" t="s">
        <v>472</v>
      </c>
      <c r="B319" s="6" t="s">
        <v>740</v>
      </c>
      <c r="C319" s="6" t="s">
        <v>761</v>
      </c>
      <c r="D319" s="7">
        <v>46087</v>
      </c>
      <c r="E319" s="8" t="s">
        <v>591</v>
      </c>
      <c r="F319" s="8" t="s">
        <v>385</v>
      </c>
      <c r="G319" s="20" t="s">
        <v>375</v>
      </c>
      <c r="H319" s="9">
        <v>4400</v>
      </c>
      <c r="I319" s="9">
        <v>0</v>
      </c>
      <c r="J319" s="21"/>
    </row>
    <row r="320" spans="1:10" ht="21" x14ac:dyDescent="0.3">
      <c r="A320" s="6" t="s">
        <v>472</v>
      </c>
      <c r="B320" s="6" t="s">
        <v>740</v>
      </c>
      <c r="C320" s="6" t="s">
        <v>761</v>
      </c>
      <c r="D320" s="7">
        <v>46093</v>
      </c>
      <c r="E320" s="8" t="s">
        <v>591</v>
      </c>
      <c r="F320" s="8" t="s">
        <v>754</v>
      </c>
      <c r="G320" s="20" t="s">
        <v>376</v>
      </c>
      <c r="H320" s="9">
        <v>20000</v>
      </c>
      <c r="I320" s="9">
        <v>0</v>
      </c>
      <c r="J320" s="21"/>
    </row>
    <row r="321" spans="1:10" ht="42" x14ac:dyDescent="0.3">
      <c r="A321" s="6" t="s">
        <v>472</v>
      </c>
      <c r="B321" s="6" t="s">
        <v>740</v>
      </c>
      <c r="C321" s="6" t="s">
        <v>761</v>
      </c>
      <c r="D321" s="7">
        <v>46093</v>
      </c>
      <c r="E321" s="8" t="s">
        <v>591</v>
      </c>
      <c r="F321" s="8" t="s">
        <v>195</v>
      </c>
      <c r="G321" s="20" t="s">
        <v>460</v>
      </c>
      <c r="H321" s="9">
        <v>20000</v>
      </c>
      <c r="I321" s="9">
        <v>0</v>
      </c>
      <c r="J321" s="21"/>
    </row>
    <row r="322" spans="1:10" ht="42" x14ac:dyDescent="0.3">
      <c r="A322" s="6" t="s">
        <v>472</v>
      </c>
      <c r="B322" s="6" t="s">
        <v>740</v>
      </c>
      <c r="C322" s="6" t="s">
        <v>761</v>
      </c>
      <c r="D322" s="7">
        <v>46093</v>
      </c>
      <c r="E322" s="8" t="s">
        <v>591</v>
      </c>
      <c r="F322" s="8" t="s">
        <v>438</v>
      </c>
      <c r="G322" s="20" t="s">
        <v>494</v>
      </c>
      <c r="H322" s="9">
        <v>10000</v>
      </c>
      <c r="I322" s="9">
        <v>0</v>
      </c>
      <c r="J322" s="21"/>
    </row>
    <row r="323" spans="1:10" ht="42" x14ac:dyDescent="0.3">
      <c r="A323" s="6" t="s">
        <v>472</v>
      </c>
      <c r="B323" s="6" t="s">
        <v>740</v>
      </c>
      <c r="C323" s="6" t="s">
        <v>761</v>
      </c>
      <c r="D323" s="7">
        <v>46093</v>
      </c>
      <c r="E323" s="8" t="s">
        <v>591</v>
      </c>
      <c r="F323" s="8" t="s">
        <v>94</v>
      </c>
      <c r="G323" s="20" t="s">
        <v>377</v>
      </c>
      <c r="H323" s="9">
        <v>10000</v>
      </c>
      <c r="I323" s="9">
        <v>0</v>
      </c>
      <c r="J323" s="21"/>
    </row>
    <row r="324" spans="1:10" ht="42" x14ac:dyDescent="0.3">
      <c r="A324" s="6" t="s">
        <v>472</v>
      </c>
      <c r="B324" s="6" t="s">
        <v>740</v>
      </c>
      <c r="C324" s="6" t="s">
        <v>761</v>
      </c>
      <c r="D324" s="7">
        <v>46093</v>
      </c>
      <c r="E324" s="8" t="s">
        <v>591</v>
      </c>
      <c r="F324" s="8" t="s">
        <v>414</v>
      </c>
      <c r="G324" s="20" t="s">
        <v>378</v>
      </c>
      <c r="H324" s="9">
        <v>13000</v>
      </c>
      <c r="I324" s="9">
        <v>0</v>
      </c>
      <c r="J324" s="21"/>
    </row>
    <row r="325" spans="1:10" ht="63" x14ac:dyDescent="0.3">
      <c r="A325" s="6" t="s">
        <v>472</v>
      </c>
      <c r="B325" s="6" t="s">
        <v>740</v>
      </c>
      <c r="C325" s="6" t="s">
        <v>761</v>
      </c>
      <c r="D325" s="7">
        <v>46093</v>
      </c>
      <c r="E325" s="8" t="s">
        <v>591</v>
      </c>
      <c r="F325" s="8" t="s">
        <v>464</v>
      </c>
      <c r="G325" s="20" t="s">
        <v>379</v>
      </c>
      <c r="H325" s="9">
        <v>1050</v>
      </c>
      <c r="I325" s="9">
        <v>0</v>
      </c>
      <c r="J325" s="21"/>
    </row>
    <row r="326" spans="1:10" ht="42" x14ac:dyDescent="0.3">
      <c r="A326" s="6" t="s">
        <v>472</v>
      </c>
      <c r="B326" s="6" t="s">
        <v>740</v>
      </c>
      <c r="C326" s="6" t="s">
        <v>761</v>
      </c>
      <c r="D326" s="7">
        <v>46093</v>
      </c>
      <c r="E326" s="8" t="s">
        <v>591</v>
      </c>
      <c r="F326" s="8" t="s">
        <v>755</v>
      </c>
      <c r="G326" s="20" t="s">
        <v>461</v>
      </c>
      <c r="H326" s="9">
        <v>10000</v>
      </c>
      <c r="I326" s="9">
        <v>0</v>
      </c>
      <c r="J326" s="21"/>
    </row>
    <row r="327" spans="1:10" ht="21" x14ac:dyDescent="0.3">
      <c r="A327" s="6" t="s">
        <v>472</v>
      </c>
      <c r="B327" s="6" t="s">
        <v>740</v>
      </c>
      <c r="C327" s="6" t="s">
        <v>761</v>
      </c>
      <c r="D327" s="7">
        <v>46093</v>
      </c>
      <c r="E327" s="8" t="s">
        <v>591</v>
      </c>
      <c r="F327" s="8" t="s">
        <v>479</v>
      </c>
      <c r="G327" s="20" t="s">
        <v>480</v>
      </c>
      <c r="H327" s="9">
        <v>50000</v>
      </c>
      <c r="I327" s="9">
        <v>0</v>
      </c>
      <c r="J327" s="21"/>
    </row>
    <row r="328" spans="1:10" ht="42" x14ac:dyDescent="0.3">
      <c r="A328" s="6" t="s">
        <v>472</v>
      </c>
      <c r="B328" s="6" t="s">
        <v>740</v>
      </c>
      <c r="C328" s="6" t="s">
        <v>761</v>
      </c>
      <c r="D328" s="7">
        <v>46093</v>
      </c>
      <c r="E328" s="8" t="s">
        <v>591</v>
      </c>
      <c r="F328" s="8" t="s">
        <v>752</v>
      </c>
      <c r="G328" s="20" t="s">
        <v>392</v>
      </c>
      <c r="H328" s="9">
        <v>12000</v>
      </c>
      <c r="I328" s="9">
        <v>0</v>
      </c>
      <c r="J328" s="21"/>
    </row>
    <row r="329" spans="1:10" ht="21" x14ac:dyDescent="0.3">
      <c r="A329" s="6" t="s">
        <v>472</v>
      </c>
      <c r="B329" s="6" t="s">
        <v>740</v>
      </c>
      <c r="C329" s="6" t="s">
        <v>761</v>
      </c>
      <c r="D329" s="7">
        <v>46099</v>
      </c>
      <c r="E329" s="8" t="s">
        <v>591</v>
      </c>
      <c r="F329" s="8" t="s">
        <v>385</v>
      </c>
      <c r="G329" s="20" t="s">
        <v>380</v>
      </c>
      <c r="H329" s="9">
        <v>5740</v>
      </c>
      <c r="I329" s="9">
        <v>0</v>
      </c>
      <c r="J329" s="21"/>
    </row>
    <row r="330" spans="1:10" ht="21" x14ac:dyDescent="0.3">
      <c r="A330" s="6" t="s">
        <v>472</v>
      </c>
      <c r="B330" s="6" t="s">
        <v>740</v>
      </c>
      <c r="C330" s="6" t="s">
        <v>761</v>
      </c>
      <c r="D330" s="7">
        <v>46093</v>
      </c>
      <c r="E330" s="8" t="s">
        <v>591</v>
      </c>
      <c r="F330" s="8" t="s">
        <v>465</v>
      </c>
      <c r="G330" s="20" t="s">
        <v>381</v>
      </c>
      <c r="H330" s="9">
        <v>1000</v>
      </c>
      <c r="I330" s="9">
        <v>0</v>
      </c>
      <c r="J330" s="21"/>
    </row>
    <row r="331" spans="1:10" ht="21" x14ac:dyDescent="0.3">
      <c r="A331" s="6" t="s">
        <v>472</v>
      </c>
      <c r="B331" s="6" t="s">
        <v>740</v>
      </c>
      <c r="C331" s="6" t="s">
        <v>761</v>
      </c>
      <c r="D331" s="7">
        <v>46104</v>
      </c>
      <c r="E331" s="8" t="s">
        <v>591</v>
      </c>
      <c r="F331" s="8" t="s">
        <v>464</v>
      </c>
      <c r="G331" s="20" t="s">
        <v>382</v>
      </c>
      <c r="H331" s="9">
        <v>1500</v>
      </c>
      <c r="I331" s="9">
        <v>0</v>
      </c>
      <c r="J331" s="21"/>
    </row>
    <row r="332" spans="1:10" ht="42" x14ac:dyDescent="0.3">
      <c r="A332" s="6" t="s">
        <v>472</v>
      </c>
      <c r="B332" s="6" t="s">
        <v>740</v>
      </c>
      <c r="C332" s="6" t="s">
        <v>761</v>
      </c>
      <c r="D332" s="7">
        <v>46104</v>
      </c>
      <c r="E332" s="8" t="s">
        <v>591</v>
      </c>
      <c r="F332" s="8" t="s">
        <v>464</v>
      </c>
      <c r="G332" s="20" t="s">
        <v>383</v>
      </c>
      <c r="H332" s="9">
        <v>1500</v>
      </c>
      <c r="I332" s="9">
        <v>0</v>
      </c>
      <c r="J332" s="21"/>
    </row>
    <row r="333" spans="1:10" ht="42" x14ac:dyDescent="0.3">
      <c r="A333" s="6" t="s">
        <v>472</v>
      </c>
      <c r="B333" s="6" t="s">
        <v>740</v>
      </c>
      <c r="C333" s="6" t="s">
        <v>761</v>
      </c>
      <c r="D333" s="7">
        <v>46104</v>
      </c>
      <c r="E333" s="8" t="s">
        <v>591</v>
      </c>
      <c r="F333" s="8" t="s">
        <v>752</v>
      </c>
      <c r="G333" s="20" t="s">
        <v>384</v>
      </c>
      <c r="H333" s="9">
        <v>750</v>
      </c>
      <c r="I333" s="9">
        <v>0</v>
      </c>
      <c r="J333" s="21"/>
    </row>
    <row r="334" spans="1:10" ht="63" x14ac:dyDescent="0.3">
      <c r="A334" s="6" t="s">
        <v>472</v>
      </c>
      <c r="B334" s="6" t="s">
        <v>740</v>
      </c>
      <c r="C334" s="6" t="s">
        <v>761</v>
      </c>
      <c r="D334" s="7">
        <v>46104</v>
      </c>
      <c r="E334" s="8" t="s">
        <v>591</v>
      </c>
      <c r="F334" s="8" t="s">
        <v>195</v>
      </c>
      <c r="G334" s="20" t="s">
        <v>486</v>
      </c>
      <c r="H334" s="9">
        <v>65000</v>
      </c>
      <c r="I334" s="9">
        <v>0</v>
      </c>
      <c r="J334" s="21"/>
    </row>
    <row r="335" spans="1:10" ht="42" x14ac:dyDescent="0.3">
      <c r="A335" s="6" t="s">
        <v>472</v>
      </c>
      <c r="B335" s="6" t="s">
        <v>740</v>
      </c>
      <c r="C335" s="6" t="s">
        <v>761</v>
      </c>
      <c r="D335" s="7">
        <v>46104</v>
      </c>
      <c r="E335" s="8" t="s">
        <v>591</v>
      </c>
      <c r="F335" s="8" t="s">
        <v>426</v>
      </c>
      <c r="G335" s="20" t="s">
        <v>416</v>
      </c>
      <c r="H335" s="9">
        <v>173000</v>
      </c>
      <c r="I335" s="9">
        <v>0</v>
      </c>
      <c r="J335" s="21"/>
    </row>
    <row r="336" spans="1:10" ht="42" x14ac:dyDescent="0.3">
      <c r="A336" s="6" t="s">
        <v>472</v>
      </c>
      <c r="B336" s="6" t="s">
        <v>740</v>
      </c>
      <c r="C336" s="6" t="s">
        <v>761</v>
      </c>
      <c r="D336" s="7">
        <v>46104</v>
      </c>
      <c r="E336" s="8" t="s">
        <v>591</v>
      </c>
      <c r="F336" s="8" t="s">
        <v>426</v>
      </c>
      <c r="G336" s="20" t="s">
        <v>518</v>
      </c>
      <c r="H336" s="9">
        <v>71000</v>
      </c>
      <c r="I336" s="9">
        <v>0</v>
      </c>
      <c r="J336" s="21"/>
    </row>
    <row r="337" spans="1:10" ht="42" x14ac:dyDescent="0.3">
      <c r="A337" s="6" t="s">
        <v>472</v>
      </c>
      <c r="B337" s="6" t="s">
        <v>740</v>
      </c>
      <c r="C337" s="6" t="s">
        <v>761</v>
      </c>
      <c r="D337" s="7">
        <v>46104</v>
      </c>
      <c r="E337" s="8" t="s">
        <v>591</v>
      </c>
      <c r="F337" s="8" t="s">
        <v>426</v>
      </c>
      <c r="G337" s="20" t="s">
        <v>521</v>
      </c>
      <c r="H337" s="9">
        <v>95000</v>
      </c>
      <c r="I337" s="9">
        <v>0</v>
      </c>
      <c r="J337" s="21"/>
    </row>
    <row r="338" spans="1:10" ht="42" x14ac:dyDescent="0.3">
      <c r="A338" s="6" t="s">
        <v>472</v>
      </c>
      <c r="B338" s="6" t="s">
        <v>740</v>
      </c>
      <c r="C338" s="6" t="s">
        <v>761</v>
      </c>
      <c r="D338" s="7">
        <v>46104</v>
      </c>
      <c r="E338" s="8" t="s">
        <v>591</v>
      </c>
      <c r="F338" s="8" t="s">
        <v>415</v>
      </c>
      <c r="G338" s="20" t="s">
        <v>520</v>
      </c>
      <c r="H338" s="9">
        <v>243790</v>
      </c>
      <c r="I338" s="9">
        <v>0</v>
      </c>
      <c r="J338" s="21"/>
    </row>
    <row r="339" spans="1:10" ht="21" x14ac:dyDescent="0.3">
      <c r="A339" s="6" t="s">
        <v>472</v>
      </c>
      <c r="B339" s="6" t="s">
        <v>740</v>
      </c>
      <c r="C339" s="6" t="s">
        <v>761</v>
      </c>
      <c r="D339" s="7">
        <v>46104</v>
      </c>
      <c r="E339" s="8" t="s">
        <v>591</v>
      </c>
      <c r="F339" s="8" t="s">
        <v>426</v>
      </c>
      <c r="G339" s="20" t="s">
        <v>419</v>
      </c>
      <c r="H339" s="9">
        <v>33750</v>
      </c>
      <c r="I339" s="9">
        <v>0</v>
      </c>
      <c r="J339" s="21"/>
    </row>
    <row r="340" spans="1:10" ht="21" x14ac:dyDescent="0.3">
      <c r="A340" s="6" t="s">
        <v>472</v>
      </c>
      <c r="B340" s="6" t="s">
        <v>740</v>
      </c>
      <c r="C340" s="6" t="s">
        <v>761</v>
      </c>
      <c r="D340" s="7">
        <v>46104</v>
      </c>
      <c r="E340" s="8" t="s">
        <v>591</v>
      </c>
      <c r="F340" s="8" t="s">
        <v>426</v>
      </c>
      <c r="G340" s="20" t="s">
        <v>462</v>
      </c>
      <c r="H340" s="9">
        <v>2000</v>
      </c>
      <c r="I340" s="9">
        <v>0</v>
      </c>
      <c r="J340" s="21"/>
    </row>
    <row r="341" spans="1:10" ht="42" x14ac:dyDescent="0.3">
      <c r="A341" s="6" t="s">
        <v>472</v>
      </c>
      <c r="B341" s="6" t="s">
        <v>740</v>
      </c>
      <c r="C341" s="6" t="s">
        <v>761</v>
      </c>
      <c r="D341" s="7">
        <v>46104</v>
      </c>
      <c r="E341" s="8" t="s">
        <v>591</v>
      </c>
      <c r="F341" s="8" t="s">
        <v>25</v>
      </c>
      <c r="G341" s="20" t="s">
        <v>569</v>
      </c>
      <c r="H341" s="9">
        <v>200</v>
      </c>
      <c r="I341" s="9">
        <v>0</v>
      </c>
      <c r="J341" s="21"/>
    </row>
    <row r="342" spans="1:10" ht="42" x14ac:dyDescent="0.3">
      <c r="A342" s="6" t="s">
        <v>472</v>
      </c>
      <c r="B342" s="6" t="s">
        <v>740</v>
      </c>
      <c r="C342" s="6" t="s">
        <v>761</v>
      </c>
      <c r="D342" s="7">
        <v>46104</v>
      </c>
      <c r="E342" s="8" t="s">
        <v>591</v>
      </c>
      <c r="F342" s="8" t="s">
        <v>539</v>
      </c>
      <c r="G342" s="20" t="s">
        <v>463</v>
      </c>
      <c r="H342" s="9">
        <v>5000</v>
      </c>
      <c r="I342" s="9">
        <v>0</v>
      </c>
      <c r="J342" s="21"/>
    </row>
    <row r="343" spans="1:10" ht="42" x14ac:dyDescent="0.3">
      <c r="A343" s="6" t="s">
        <v>472</v>
      </c>
      <c r="B343" s="6" t="s">
        <v>740</v>
      </c>
      <c r="C343" s="6" t="s">
        <v>761</v>
      </c>
      <c r="D343" s="7">
        <v>46104</v>
      </c>
      <c r="E343" s="8" t="s">
        <v>591</v>
      </c>
      <c r="F343" s="8" t="s">
        <v>755</v>
      </c>
      <c r="G343" s="20" t="s">
        <v>420</v>
      </c>
      <c r="H343" s="9">
        <v>5000</v>
      </c>
      <c r="I343" s="9">
        <v>0</v>
      </c>
      <c r="J343" s="21"/>
    </row>
    <row r="344" spans="1:10" ht="42" x14ac:dyDescent="0.3">
      <c r="A344" s="6" t="s">
        <v>472</v>
      </c>
      <c r="B344" s="6" t="s">
        <v>740</v>
      </c>
      <c r="C344" s="6" t="s">
        <v>761</v>
      </c>
      <c r="D344" s="7">
        <v>46104</v>
      </c>
      <c r="E344" s="8" t="s">
        <v>591</v>
      </c>
      <c r="F344" s="8" t="s">
        <v>755</v>
      </c>
      <c r="G344" s="20" t="s">
        <v>421</v>
      </c>
      <c r="H344" s="9">
        <v>7000</v>
      </c>
      <c r="I344" s="9">
        <v>0</v>
      </c>
      <c r="J344" s="21"/>
    </row>
    <row r="345" spans="1:10" ht="21" x14ac:dyDescent="0.3">
      <c r="A345" s="6" t="s">
        <v>472</v>
      </c>
      <c r="B345" s="6" t="s">
        <v>740</v>
      </c>
      <c r="C345" s="6" t="s">
        <v>761</v>
      </c>
      <c r="D345" s="7">
        <v>46104</v>
      </c>
      <c r="E345" s="8" t="s">
        <v>591</v>
      </c>
      <c r="F345" s="8" t="s">
        <v>25</v>
      </c>
      <c r="G345" s="20" t="s">
        <v>422</v>
      </c>
      <c r="H345" s="9">
        <v>800</v>
      </c>
      <c r="I345" s="9">
        <v>0</v>
      </c>
      <c r="J345" s="21"/>
    </row>
    <row r="346" spans="1:10" ht="42" x14ac:dyDescent="0.3">
      <c r="A346" s="6" t="s">
        <v>472</v>
      </c>
      <c r="B346" s="6" t="s">
        <v>740</v>
      </c>
      <c r="C346" s="6" t="s">
        <v>761</v>
      </c>
      <c r="D346" s="7">
        <v>46104</v>
      </c>
      <c r="E346" s="8" t="s">
        <v>591</v>
      </c>
      <c r="F346" s="8" t="s">
        <v>59</v>
      </c>
      <c r="G346" s="20" t="s">
        <v>537</v>
      </c>
      <c r="H346" s="9">
        <v>4000</v>
      </c>
      <c r="I346" s="9">
        <v>0</v>
      </c>
      <c r="J346" s="21"/>
    </row>
    <row r="347" spans="1:10" ht="21" x14ac:dyDescent="0.3">
      <c r="A347" s="6" t="s">
        <v>472</v>
      </c>
      <c r="B347" s="6" t="s">
        <v>740</v>
      </c>
      <c r="C347" s="6" t="s">
        <v>761</v>
      </c>
      <c r="D347" s="7">
        <v>46104</v>
      </c>
      <c r="E347" s="8" t="s">
        <v>591</v>
      </c>
      <c r="F347" s="8" t="s">
        <v>464</v>
      </c>
      <c r="G347" s="20" t="s">
        <v>423</v>
      </c>
      <c r="H347" s="9">
        <v>2000</v>
      </c>
      <c r="I347" s="9">
        <v>0</v>
      </c>
      <c r="J347" s="21"/>
    </row>
    <row r="348" spans="1:10" ht="21" x14ac:dyDescent="0.3">
      <c r="A348" s="6" t="s">
        <v>472</v>
      </c>
      <c r="B348" s="6" t="s">
        <v>740</v>
      </c>
      <c r="C348" s="6" t="s">
        <v>761</v>
      </c>
      <c r="D348" s="7">
        <v>46104</v>
      </c>
      <c r="E348" s="8" t="s">
        <v>591</v>
      </c>
      <c r="F348" s="8" t="s">
        <v>464</v>
      </c>
      <c r="G348" s="20" t="s">
        <v>424</v>
      </c>
      <c r="H348" s="9">
        <v>2000</v>
      </c>
      <c r="I348" s="9">
        <v>0</v>
      </c>
      <c r="J348" s="21"/>
    </row>
    <row r="349" spans="1:10" ht="21" x14ac:dyDescent="0.3">
      <c r="A349" s="6" t="s">
        <v>472</v>
      </c>
      <c r="B349" s="6" t="s">
        <v>740</v>
      </c>
      <c r="C349" s="6" t="s">
        <v>761</v>
      </c>
      <c r="D349" s="7">
        <v>46104</v>
      </c>
      <c r="E349" s="8" t="s">
        <v>591</v>
      </c>
      <c r="F349" s="8" t="s">
        <v>25</v>
      </c>
      <c r="G349" s="20" t="s">
        <v>425</v>
      </c>
      <c r="H349" s="9">
        <v>200</v>
      </c>
      <c r="I349" s="9">
        <v>0</v>
      </c>
      <c r="J349" s="21"/>
    </row>
    <row r="350" spans="1:10" ht="42" x14ac:dyDescent="0.3">
      <c r="A350" s="6" t="s">
        <v>472</v>
      </c>
      <c r="B350" s="6" t="s">
        <v>740</v>
      </c>
      <c r="C350" s="6" t="s">
        <v>761</v>
      </c>
      <c r="D350" s="7">
        <v>46104</v>
      </c>
      <c r="E350" s="8" t="s">
        <v>591</v>
      </c>
      <c r="F350" s="8" t="s">
        <v>426</v>
      </c>
      <c r="G350" s="20" t="s">
        <v>439</v>
      </c>
      <c r="H350" s="9">
        <v>18100</v>
      </c>
      <c r="I350" s="9">
        <v>0</v>
      </c>
      <c r="J350" s="21"/>
    </row>
    <row r="351" spans="1:10" ht="42" x14ac:dyDescent="0.3">
      <c r="A351" s="6" t="s">
        <v>472</v>
      </c>
      <c r="B351" s="6" t="s">
        <v>740</v>
      </c>
      <c r="C351" s="6" t="s">
        <v>761</v>
      </c>
      <c r="D351" s="7">
        <v>46104</v>
      </c>
      <c r="E351" s="8" t="s">
        <v>591</v>
      </c>
      <c r="F351" s="8" t="s">
        <v>426</v>
      </c>
      <c r="G351" s="20" t="s">
        <v>440</v>
      </c>
      <c r="H351" s="9">
        <v>55125</v>
      </c>
      <c r="I351" s="9">
        <v>0</v>
      </c>
      <c r="J351" s="21"/>
    </row>
    <row r="352" spans="1:10" ht="21" x14ac:dyDescent="0.3">
      <c r="A352" s="6" t="s">
        <v>472</v>
      </c>
      <c r="B352" s="6" t="s">
        <v>740</v>
      </c>
      <c r="C352" s="6" t="s">
        <v>761</v>
      </c>
      <c r="D352" s="7">
        <v>46104</v>
      </c>
      <c r="E352" s="8" t="s">
        <v>591</v>
      </c>
      <c r="F352" s="8" t="s">
        <v>25</v>
      </c>
      <c r="G352" s="20" t="s">
        <v>467</v>
      </c>
      <c r="H352" s="9">
        <v>150</v>
      </c>
      <c r="I352" s="9">
        <v>0</v>
      </c>
      <c r="J352" s="21"/>
    </row>
    <row r="353" spans="1:10" ht="21" x14ac:dyDescent="0.3">
      <c r="A353" s="6" t="s">
        <v>472</v>
      </c>
      <c r="B353" s="6" t="s">
        <v>740</v>
      </c>
      <c r="C353" s="6" t="s">
        <v>761</v>
      </c>
      <c r="D353" s="7">
        <v>46104</v>
      </c>
      <c r="E353" s="8" t="s">
        <v>591</v>
      </c>
      <c r="F353" s="8" t="s">
        <v>426</v>
      </c>
      <c r="G353" s="20" t="s">
        <v>441</v>
      </c>
      <c r="H353" s="9">
        <v>13750</v>
      </c>
      <c r="I353" s="9">
        <v>0</v>
      </c>
      <c r="J353" s="21"/>
    </row>
    <row r="354" spans="1:10" ht="21" x14ac:dyDescent="0.3">
      <c r="A354" s="6" t="s">
        <v>472</v>
      </c>
      <c r="B354" s="6" t="s">
        <v>740</v>
      </c>
      <c r="C354" s="6" t="s">
        <v>761</v>
      </c>
      <c r="D354" s="7">
        <v>46104</v>
      </c>
      <c r="E354" s="8" t="s">
        <v>591</v>
      </c>
      <c r="F354" s="8" t="s">
        <v>653</v>
      </c>
      <c r="G354" s="20" t="s">
        <v>442</v>
      </c>
      <c r="H354" s="9">
        <v>600</v>
      </c>
      <c r="I354" s="9">
        <v>0</v>
      </c>
      <c r="J354" s="21"/>
    </row>
    <row r="355" spans="1:10" ht="42" x14ac:dyDescent="0.3">
      <c r="A355" s="6" t="s">
        <v>472</v>
      </c>
      <c r="B355" s="6" t="s">
        <v>740</v>
      </c>
      <c r="C355" s="6" t="s">
        <v>761</v>
      </c>
      <c r="D355" s="7">
        <v>46104</v>
      </c>
      <c r="E355" s="8" t="s">
        <v>591</v>
      </c>
      <c r="F355" s="8" t="s">
        <v>653</v>
      </c>
      <c r="G355" s="20" t="s">
        <v>443</v>
      </c>
      <c r="H355" s="9">
        <v>6500</v>
      </c>
      <c r="I355" s="9">
        <v>0</v>
      </c>
      <c r="J355" s="21"/>
    </row>
    <row r="356" spans="1:10" ht="21" x14ac:dyDescent="0.3">
      <c r="A356" s="6" t="s">
        <v>472</v>
      </c>
      <c r="B356" s="6" t="s">
        <v>740</v>
      </c>
      <c r="C356" s="6" t="s">
        <v>761</v>
      </c>
      <c r="D356" s="7">
        <v>46104</v>
      </c>
      <c r="E356" s="8" t="s">
        <v>591</v>
      </c>
      <c r="F356" s="8" t="s">
        <v>754</v>
      </c>
      <c r="G356" s="20" t="s">
        <v>475</v>
      </c>
      <c r="H356" s="9">
        <v>10000</v>
      </c>
      <c r="I356" s="9">
        <v>0</v>
      </c>
      <c r="J356" s="21"/>
    </row>
    <row r="357" spans="1:10" ht="42" x14ac:dyDescent="0.3">
      <c r="A357" s="6" t="s">
        <v>472</v>
      </c>
      <c r="B357" s="6" t="s">
        <v>740</v>
      </c>
      <c r="C357" s="6" t="s">
        <v>761</v>
      </c>
      <c r="D357" s="7">
        <v>46104</v>
      </c>
      <c r="E357" s="8" t="s">
        <v>591</v>
      </c>
      <c r="F357" s="8" t="s">
        <v>438</v>
      </c>
      <c r="G357" s="20" t="s">
        <v>495</v>
      </c>
      <c r="H357" s="9">
        <v>10000</v>
      </c>
      <c r="I357" s="9">
        <v>0</v>
      </c>
      <c r="J357" s="21"/>
    </row>
    <row r="358" spans="1:10" ht="42" x14ac:dyDescent="0.3">
      <c r="A358" s="6" t="s">
        <v>472</v>
      </c>
      <c r="B358" s="6" t="s">
        <v>740</v>
      </c>
      <c r="C358" s="6" t="s">
        <v>761</v>
      </c>
      <c r="D358" s="7">
        <v>46104</v>
      </c>
      <c r="E358" s="8" t="s">
        <v>591</v>
      </c>
      <c r="F358" s="8" t="s">
        <v>94</v>
      </c>
      <c r="G358" s="20" t="s">
        <v>476</v>
      </c>
      <c r="H358" s="9">
        <v>10000</v>
      </c>
      <c r="I358" s="9">
        <v>0</v>
      </c>
      <c r="J358" s="21"/>
    </row>
    <row r="359" spans="1:10" ht="21" x14ac:dyDescent="0.3">
      <c r="A359" s="6" t="s">
        <v>472</v>
      </c>
      <c r="B359" s="6" t="s">
        <v>740</v>
      </c>
      <c r="C359" s="6" t="s">
        <v>761</v>
      </c>
      <c r="D359" s="7">
        <v>46104</v>
      </c>
      <c r="E359" s="8" t="s">
        <v>591</v>
      </c>
      <c r="F359" s="8" t="s">
        <v>426</v>
      </c>
      <c r="G359" s="20" t="s">
        <v>444</v>
      </c>
      <c r="H359" s="9">
        <v>2000</v>
      </c>
      <c r="I359" s="9">
        <v>0</v>
      </c>
      <c r="J359" s="21"/>
    </row>
    <row r="360" spans="1:10" ht="42" x14ac:dyDescent="0.3">
      <c r="A360" s="6" t="s">
        <v>472</v>
      </c>
      <c r="B360" s="6" t="s">
        <v>740</v>
      </c>
      <c r="C360" s="6" t="s">
        <v>761</v>
      </c>
      <c r="D360" s="7">
        <v>46108</v>
      </c>
      <c r="E360" s="8" t="s">
        <v>591</v>
      </c>
      <c r="F360" s="8" t="s">
        <v>385</v>
      </c>
      <c r="G360" s="20" t="s">
        <v>445</v>
      </c>
      <c r="H360" s="9">
        <v>14450</v>
      </c>
      <c r="I360" s="9">
        <v>0</v>
      </c>
      <c r="J360" s="21"/>
    </row>
    <row r="361" spans="1:10" ht="42" x14ac:dyDescent="0.3">
      <c r="A361" s="6" t="s">
        <v>472</v>
      </c>
      <c r="B361" s="6" t="s">
        <v>740</v>
      </c>
      <c r="C361" s="6" t="s">
        <v>761</v>
      </c>
      <c r="D361" s="7">
        <v>46108</v>
      </c>
      <c r="E361" s="8" t="s">
        <v>591</v>
      </c>
      <c r="F361" s="8" t="s">
        <v>446</v>
      </c>
      <c r="G361" s="20" t="s">
        <v>548</v>
      </c>
      <c r="H361" s="9">
        <v>50000</v>
      </c>
      <c r="I361" s="9">
        <v>0</v>
      </c>
      <c r="J361" s="21"/>
    </row>
    <row r="362" spans="1:10" ht="21" x14ac:dyDescent="0.3">
      <c r="A362" s="6" t="s">
        <v>472</v>
      </c>
      <c r="B362" s="6" t="s">
        <v>740</v>
      </c>
      <c r="C362" s="6" t="s">
        <v>761</v>
      </c>
      <c r="D362" s="7">
        <v>46111</v>
      </c>
      <c r="E362" s="8" t="s">
        <v>591</v>
      </c>
      <c r="F362" s="8" t="s">
        <v>426</v>
      </c>
      <c r="G362" s="20" t="s">
        <v>471</v>
      </c>
      <c r="H362" s="9">
        <v>450</v>
      </c>
      <c r="I362" s="9">
        <v>0</v>
      </c>
      <c r="J362" s="21"/>
    </row>
    <row r="363" spans="1:10" ht="21" x14ac:dyDescent="0.3">
      <c r="A363" s="6" t="s">
        <v>472</v>
      </c>
      <c r="B363" s="6" t="s">
        <v>740</v>
      </c>
      <c r="C363" s="6" t="s">
        <v>761</v>
      </c>
      <c r="D363" s="7">
        <v>46112</v>
      </c>
      <c r="E363" s="8" t="s">
        <v>591</v>
      </c>
      <c r="F363" s="8" t="s">
        <v>754</v>
      </c>
      <c r="G363" s="20" t="s">
        <v>475</v>
      </c>
      <c r="H363" s="9">
        <v>14000</v>
      </c>
      <c r="I363" s="9">
        <v>0</v>
      </c>
      <c r="J363" s="21"/>
    </row>
    <row r="364" spans="1:10" ht="42" x14ac:dyDescent="0.3">
      <c r="A364" s="6" t="s">
        <v>472</v>
      </c>
      <c r="B364" s="6" t="s">
        <v>740</v>
      </c>
      <c r="C364" s="6" t="s">
        <v>761</v>
      </c>
      <c r="D364" s="7">
        <v>46115</v>
      </c>
      <c r="E364" s="8" t="s">
        <v>591</v>
      </c>
      <c r="F364" s="8" t="s">
        <v>438</v>
      </c>
      <c r="G364" s="20" t="s">
        <v>496</v>
      </c>
      <c r="H364" s="9">
        <v>10000</v>
      </c>
      <c r="I364" s="9">
        <v>0</v>
      </c>
      <c r="J364" s="21"/>
    </row>
    <row r="365" spans="1:10" ht="42" x14ac:dyDescent="0.3">
      <c r="A365" s="6" t="s">
        <v>472</v>
      </c>
      <c r="B365" s="6" t="s">
        <v>740</v>
      </c>
      <c r="C365" s="6" t="s">
        <v>761</v>
      </c>
      <c r="D365" s="7">
        <v>46115</v>
      </c>
      <c r="E365" s="8" t="s">
        <v>591</v>
      </c>
      <c r="F365" s="8" t="s">
        <v>94</v>
      </c>
      <c r="G365" s="20" t="s">
        <v>476</v>
      </c>
      <c r="H365" s="9">
        <v>6000</v>
      </c>
      <c r="I365" s="9">
        <v>0</v>
      </c>
      <c r="J365" s="21"/>
    </row>
    <row r="366" spans="1:10" ht="42" x14ac:dyDescent="0.3">
      <c r="A366" s="6" t="s">
        <v>472</v>
      </c>
      <c r="B366" s="6" t="s">
        <v>740</v>
      </c>
      <c r="C366" s="6" t="s">
        <v>761</v>
      </c>
      <c r="D366" s="7">
        <v>46117</v>
      </c>
      <c r="E366" s="8" t="s">
        <v>591</v>
      </c>
      <c r="F366" s="8" t="s">
        <v>539</v>
      </c>
      <c r="G366" s="20" t="s">
        <v>538</v>
      </c>
      <c r="H366" s="9">
        <v>5000</v>
      </c>
      <c r="I366" s="9">
        <v>0</v>
      </c>
      <c r="J366" s="21"/>
    </row>
    <row r="367" spans="1:10" ht="21" x14ac:dyDescent="0.3">
      <c r="A367" s="6" t="s">
        <v>472</v>
      </c>
      <c r="B367" s="6" t="s">
        <v>740</v>
      </c>
      <c r="C367" s="6" t="s">
        <v>761</v>
      </c>
      <c r="D367" s="7">
        <v>46117</v>
      </c>
      <c r="E367" s="8" t="s">
        <v>591</v>
      </c>
      <c r="F367" s="8" t="s">
        <v>385</v>
      </c>
      <c r="G367" s="20" t="s">
        <v>370</v>
      </c>
      <c r="H367" s="9">
        <v>10000</v>
      </c>
      <c r="I367" s="9">
        <v>0</v>
      </c>
      <c r="J367" s="21"/>
    </row>
    <row r="368" spans="1:10" ht="42" x14ac:dyDescent="0.3">
      <c r="A368" s="6" t="s">
        <v>472</v>
      </c>
      <c r="B368" s="6" t="s">
        <v>740</v>
      </c>
      <c r="C368" s="6" t="s">
        <v>761</v>
      </c>
      <c r="D368" s="7">
        <v>46117</v>
      </c>
      <c r="E368" s="8" t="s">
        <v>591</v>
      </c>
      <c r="F368" s="8" t="s">
        <v>426</v>
      </c>
      <c r="G368" s="20" t="s">
        <v>488</v>
      </c>
      <c r="H368" s="9">
        <v>2105</v>
      </c>
      <c r="I368" s="9">
        <v>0</v>
      </c>
      <c r="J368" s="21"/>
    </row>
    <row r="369" spans="1:10" ht="42" x14ac:dyDescent="0.3">
      <c r="A369" s="6" t="s">
        <v>472</v>
      </c>
      <c r="B369" s="6" t="s">
        <v>740</v>
      </c>
      <c r="C369" s="6" t="s">
        <v>761</v>
      </c>
      <c r="D369" s="7">
        <v>46117</v>
      </c>
      <c r="E369" s="8" t="s">
        <v>591</v>
      </c>
      <c r="F369" s="8" t="s">
        <v>464</v>
      </c>
      <c r="G369" s="20" t="s">
        <v>526</v>
      </c>
      <c r="H369" s="9">
        <v>1750</v>
      </c>
      <c r="I369" s="9">
        <v>0</v>
      </c>
      <c r="J369" s="21"/>
    </row>
    <row r="370" spans="1:10" ht="42" x14ac:dyDescent="0.3">
      <c r="A370" s="6" t="s">
        <v>472</v>
      </c>
      <c r="B370" s="6" t="s">
        <v>740</v>
      </c>
      <c r="C370" s="6" t="s">
        <v>761</v>
      </c>
      <c r="D370" s="7">
        <v>46117</v>
      </c>
      <c r="E370" s="8" t="s">
        <v>591</v>
      </c>
      <c r="F370" s="8" t="s">
        <v>465</v>
      </c>
      <c r="G370" s="20" t="s">
        <v>487</v>
      </c>
      <c r="H370" s="9">
        <v>240</v>
      </c>
      <c r="I370" s="9">
        <v>0</v>
      </c>
      <c r="J370" s="21"/>
    </row>
    <row r="371" spans="1:10" ht="21" x14ac:dyDescent="0.3">
      <c r="A371" s="6" t="s">
        <v>472</v>
      </c>
      <c r="B371" s="6" t="s">
        <v>740</v>
      </c>
      <c r="C371" s="6" t="s">
        <v>761</v>
      </c>
      <c r="D371" s="7">
        <v>46118</v>
      </c>
      <c r="E371" s="8" t="s">
        <v>591</v>
      </c>
      <c r="F371" s="8" t="s">
        <v>414</v>
      </c>
      <c r="G371" s="20" t="s">
        <v>517</v>
      </c>
      <c r="H371" s="9">
        <v>6414</v>
      </c>
      <c r="I371" s="9">
        <v>0</v>
      </c>
      <c r="J371" s="21"/>
    </row>
    <row r="372" spans="1:10" ht="42" x14ac:dyDescent="0.3">
      <c r="A372" s="6" t="s">
        <v>472</v>
      </c>
      <c r="B372" s="6" t="s">
        <v>740</v>
      </c>
      <c r="C372" s="6" t="s">
        <v>761</v>
      </c>
      <c r="D372" s="7">
        <v>46115</v>
      </c>
      <c r="E372" s="8" t="s">
        <v>591</v>
      </c>
      <c r="F372" s="8" t="s">
        <v>149</v>
      </c>
      <c r="G372" s="20" t="s">
        <v>493</v>
      </c>
      <c r="H372" s="9">
        <v>1300</v>
      </c>
      <c r="I372" s="9">
        <v>0</v>
      </c>
      <c r="J372" s="21"/>
    </row>
    <row r="373" spans="1:10" ht="21" x14ac:dyDescent="0.3">
      <c r="A373" s="6" t="s">
        <v>472</v>
      </c>
      <c r="B373" s="6" t="s">
        <v>740</v>
      </c>
      <c r="C373" s="6" t="s">
        <v>761</v>
      </c>
      <c r="D373" s="7">
        <v>46116</v>
      </c>
      <c r="E373" s="8" t="s">
        <v>591</v>
      </c>
      <c r="F373" s="8" t="s">
        <v>754</v>
      </c>
      <c r="G373" s="20" t="s">
        <v>519</v>
      </c>
      <c r="H373" s="9">
        <v>16000</v>
      </c>
      <c r="I373" s="9">
        <v>0</v>
      </c>
      <c r="J373" s="21"/>
    </row>
    <row r="374" spans="1:10" ht="42" x14ac:dyDescent="0.3">
      <c r="A374" s="6" t="s">
        <v>472</v>
      </c>
      <c r="B374" s="6" t="s">
        <v>740</v>
      </c>
      <c r="C374" s="6" t="s">
        <v>761</v>
      </c>
      <c r="D374" s="7">
        <v>46120</v>
      </c>
      <c r="E374" s="8" t="s">
        <v>591</v>
      </c>
      <c r="F374" s="8" t="s">
        <v>438</v>
      </c>
      <c r="G374" s="20" t="s">
        <v>522</v>
      </c>
      <c r="H374" s="9">
        <v>5000</v>
      </c>
      <c r="I374" s="9">
        <v>0</v>
      </c>
      <c r="J374" s="21"/>
    </row>
    <row r="375" spans="1:10" ht="21" x14ac:dyDescent="0.3">
      <c r="A375" s="6" t="s">
        <v>472</v>
      </c>
      <c r="B375" s="6" t="s">
        <v>740</v>
      </c>
      <c r="C375" s="6" t="s">
        <v>761</v>
      </c>
      <c r="D375" s="7">
        <v>46121</v>
      </c>
      <c r="E375" s="8" t="s">
        <v>591</v>
      </c>
      <c r="F375" s="8" t="s">
        <v>523</v>
      </c>
      <c r="G375" s="20" t="s">
        <v>524</v>
      </c>
      <c r="H375" s="9">
        <v>11500</v>
      </c>
      <c r="I375" s="9">
        <v>0</v>
      </c>
      <c r="J375" s="21"/>
    </row>
    <row r="376" spans="1:10" ht="21" x14ac:dyDescent="0.3">
      <c r="A376" s="6" t="s">
        <v>472</v>
      </c>
      <c r="B376" s="6" t="s">
        <v>740</v>
      </c>
      <c r="C376" s="6" t="s">
        <v>761</v>
      </c>
      <c r="D376" s="7">
        <v>46121</v>
      </c>
      <c r="E376" s="8" t="s">
        <v>591</v>
      </c>
      <c r="F376" s="8" t="s">
        <v>523</v>
      </c>
      <c r="G376" s="20" t="s">
        <v>525</v>
      </c>
      <c r="H376" s="9">
        <v>11400</v>
      </c>
      <c r="I376" s="9">
        <v>0</v>
      </c>
      <c r="J376" s="21"/>
    </row>
    <row r="377" spans="1:10" ht="42" x14ac:dyDescent="0.3">
      <c r="A377" s="6" t="s">
        <v>472</v>
      </c>
      <c r="B377" s="6" t="s">
        <v>740</v>
      </c>
      <c r="C377" s="6" t="s">
        <v>761</v>
      </c>
      <c r="D377" s="7">
        <v>46121</v>
      </c>
      <c r="E377" s="8" t="s">
        <v>591</v>
      </c>
      <c r="F377" s="8" t="s">
        <v>464</v>
      </c>
      <c r="G377" s="20" t="s">
        <v>527</v>
      </c>
      <c r="H377" s="9">
        <v>1800</v>
      </c>
      <c r="I377" s="9">
        <v>0</v>
      </c>
      <c r="J377" s="21"/>
    </row>
    <row r="378" spans="1:10" ht="21" x14ac:dyDescent="0.3">
      <c r="A378" s="6" t="s">
        <v>472</v>
      </c>
      <c r="B378" s="6" t="s">
        <v>740</v>
      </c>
      <c r="C378" s="6" t="s">
        <v>761</v>
      </c>
      <c r="D378" s="7">
        <v>46121</v>
      </c>
      <c r="E378" s="8" t="s">
        <v>591</v>
      </c>
      <c r="F378" s="8" t="s">
        <v>25</v>
      </c>
      <c r="G378" s="20" t="s">
        <v>528</v>
      </c>
      <c r="H378" s="9">
        <v>100</v>
      </c>
      <c r="I378" s="9">
        <v>0</v>
      </c>
      <c r="J378" s="21"/>
    </row>
    <row r="379" spans="1:10" ht="21" x14ac:dyDescent="0.3">
      <c r="A379" s="6" t="s">
        <v>472</v>
      </c>
      <c r="B379" s="6" t="s">
        <v>740</v>
      </c>
      <c r="C379" s="6" t="s">
        <v>761</v>
      </c>
      <c r="D379" s="7">
        <v>46121</v>
      </c>
      <c r="E379" s="8" t="s">
        <v>591</v>
      </c>
      <c r="F379" s="8" t="s">
        <v>464</v>
      </c>
      <c r="G379" s="20" t="s">
        <v>529</v>
      </c>
      <c r="H379" s="9">
        <v>800</v>
      </c>
      <c r="I379" s="9">
        <v>0</v>
      </c>
      <c r="J379" s="21"/>
    </row>
    <row r="380" spans="1:10" ht="21" x14ac:dyDescent="0.3">
      <c r="A380" s="6" t="s">
        <v>472</v>
      </c>
      <c r="B380" s="6" t="s">
        <v>740</v>
      </c>
      <c r="C380" s="6" t="s">
        <v>761</v>
      </c>
      <c r="D380" s="7">
        <v>46121</v>
      </c>
      <c r="E380" s="8" t="s">
        <v>591</v>
      </c>
      <c r="F380" s="8" t="s">
        <v>523</v>
      </c>
      <c r="G380" s="20" t="s">
        <v>530</v>
      </c>
      <c r="H380" s="9">
        <v>250</v>
      </c>
      <c r="I380" s="9">
        <v>0</v>
      </c>
      <c r="J380" s="21"/>
    </row>
    <row r="381" spans="1:10" ht="42" x14ac:dyDescent="0.3">
      <c r="A381" s="6" t="s">
        <v>472</v>
      </c>
      <c r="B381" s="6" t="s">
        <v>740</v>
      </c>
      <c r="C381" s="6" t="s">
        <v>761</v>
      </c>
      <c r="D381" s="7">
        <v>46121</v>
      </c>
      <c r="E381" s="8" t="s">
        <v>591</v>
      </c>
      <c r="F381" s="8" t="s">
        <v>532</v>
      </c>
      <c r="G381" s="20" t="s">
        <v>531</v>
      </c>
      <c r="H381" s="9">
        <v>4000</v>
      </c>
      <c r="I381" s="9">
        <v>0</v>
      </c>
      <c r="J381" s="21"/>
    </row>
    <row r="382" spans="1:10" ht="42" x14ac:dyDescent="0.3">
      <c r="A382" s="6" t="s">
        <v>472</v>
      </c>
      <c r="B382" s="6" t="s">
        <v>740</v>
      </c>
      <c r="C382" s="6" t="s">
        <v>761</v>
      </c>
      <c r="D382" s="7">
        <v>46121</v>
      </c>
      <c r="E382" s="8" t="s">
        <v>591</v>
      </c>
      <c r="F382" s="8" t="s">
        <v>438</v>
      </c>
      <c r="G382" s="20" t="s">
        <v>534</v>
      </c>
      <c r="H382" s="9">
        <v>10000</v>
      </c>
      <c r="I382" s="9">
        <v>0</v>
      </c>
      <c r="J382" s="21"/>
    </row>
    <row r="383" spans="1:10" ht="84" x14ac:dyDescent="0.3">
      <c r="A383" s="6" t="s">
        <v>472</v>
      </c>
      <c r="B383" s="6" t="s">
        <v>740</v>
      </c>
      <c r="C383" s="6" t="s">
        <v>761</v>
      </c>
      <c r="D383" s="7">
        <v>46121</v>
      </c>
      <c r="E383" s="8" t="s">
        <v>591</v>
      </c>
      <c r="F383" s="8" t="s">
        <v>752</v>
      </c>
      <c r="G383" s="20" t="s">
        <v>535</v>
      </c>
      <c r="H383" s="9">
        <v>7000</v>
      </c>
      <c r="I383" s="9">
        <v>0</v>
      </c>
      <c r="J383" s="21"/>
    </row>
    <row r="384" spans="1:10" ht="42" x14ac:dyDescent="0.3">
      <c r="A384" s="6" t="s">
        <v>472</v>
      </c>
      <c r="B384" s="6" t="s">
        <v>740</v>
      </c>
      <c r="C384" s="6" t="s">
        <v>761</v>
      </c>
      <c r="D384" s="7">
        <v>46121</v>
      </c>
      <c r="E384" s="8" t="s">
        <v>591</v>
      </c>
      <c r="F384" s="8" t="s">
        <v>465</v>
      </c>
      <c r="G384" s="20" t="s">
        <v>572</v>
      </c>
      <c r="H384" s="9">
        <v>650</v>
      </c>
      <c r="I384" s="9">
        <v>0</v>
      </c>
      <c r="J384" s="21"/>
    </row>
    <row r="385" spans="1:10" ht="42" x14ac:dyDescent="0.3">
      <c r="A385" s="6" t="s">
        <v>472</v>
      </c>
      <c r="B385" s="6" t="s">
        <v>740</v>
      </c>
      <c r="C385" s="6" t="s">
        <v>761</v>
      </c>
      <c r="D385" s="7">
        <v>46121</v>
      </c>
      <c r="E385" s="8" t="s">
        <v>591</v>
      </c>
      <c r="F385" s="8" t="s">
        <v>59</v>
      </c>
      <c r="G385" s="20" t="s">
        <v>536</v>
      </c>
      <c r="H385" s="9">
        <v>7000</v>
      </c>
      <c r="I385" s="9">
        <v>0</v>
      </c>
      <c r="J385" s="21"/>
    </row>
    <row r="386" spans="1:10" ht="42" x14ac:dyDescent="0.3">
      <c r="A386" s="6" t="s">
        <v>472</v>
      </c>
      <c r="B386" s="6" t="s">
        <v>740</v>
      </c>
      <c r="C386" s="6" t="s">
        <v>761</v>
      </c>
      <c r="D386" s="7">
        <v>46121</v>
      </c>
      <c r="E386" s="8" t="s">
        <v>591</v>
      </c>
      <c r="F386" s="8" t="s">
        <v>539</v>
      </c>
      <c r="G386" s="20" t="s">
        <v>540</v>
      </c>
      <c r="H386" s="9">
        <v>20000</v>
      </c>
      <c r="I386" s="9">
        <v>0</v>
      </c>
      <c r="J386" s="21"/>
    </row>
    <row r="387" spans="1:10" ht="21" x14ac:dyDescent="0.3">
      <c r="A387" s="6" t="s">
        <v>472</v>
      </c>
      <c r="B387" s="6" t="s">
        <v>740</v>
      </c>
      <c r="C387" s="6" t="s">
        <v>761</v>
      </c>
      <c r="D387" s="7">
        <v>46121</v>
      </c>
      <c r="E387" s="8" t="s">
        <v>591</v>
      </c>
      <c r="F387" s="8" t="s">
        <v>754</v>
      </c>
      <c r="G387" s="20" t="s">
        <v>541</v>
      </c>
      <c r="H387" s="9">
        <v>17000</v>
      </c>
      <c r="I387" s="9">
        <v>0</v>
      </c>
      <c r="J387" s="21"/>
    </row>
    <row r="388" spans="1:10" ht="42" x14ac:dyDescent="0.3">
      <c r="A388" s="6" t="s">
        <v>472</v>
      </c>
      <c r="B388" s="6" t="s">
        <v>740</v>
      </c>
      <c r="C388" s="6" t="s">
        <v>761</v>
      </c>
      <c r="D388" s="7">
        <v>46121</v>
      </c>
      <c r="E388" s="8" t="s">
        <v>591</v>
      </c>
      <c r="F388" s="8" t="s">
        <v>94</v>
      </c>
      <c r="G388" s="20" t="s">
        <v>544</v>
      </c>
      <c r="H388" s="9">
        <v>4000</v>
      </c>
      <c r="I388" s="9">
        <v>0</v>
      </c>
      <c r="J388" s="21"/>
    </row>
    <row r="389" spans="1:10" ht="42" x14ac:dyDescent="0.3">
      <c r="A389" s="6" t="s">
        <v>472</v>
      </c>
      <c r="B389" s="6" t="s">
        <v>740</v>
      </c>
      <c r="C389" s="6" t="s">
        <v>761</v>
      </c>
      <c r="D389" s="7">
        <v>46121</v>
      </c>
      <c r="E389" s="8" t="s">
        <v>591</v>
      </c>
      <c r="F389" s="8" t="s">
        <v>446</v>
      </c>
      <c r="G389" s="20" t="s">
        <v>549</v>
      </c>
      <c r="H389" s="9">
        <v>50000</v>
      </c>
      <c r="I389" s="9">
        <v>0</v>
      </c>
      <c r="J389" s="21"/>
    </row>
    <row r="390" spans="1:10" ht="21" x14ac:dyDescent="0.3">
      <c r="A390" s="6" t="s">
        <v>472</v>
      </c>
      <c r="B390" s="6" t="s">
        <v>740</v>
      </c>
      <c r="C390" s="6" t="s">
        <v>761</v>
      </c>
      <c r="D390" s="7">
        <v>46121</v>
      </c>
      <c r="E390" s="8" t="s">
        <v>591</v>
      </c>
      <c r="F390" s="8" t="s">
        <v>546</v>
      </c>
      <c r="G390" s="20" t="s">
        <v>550</v>
      </c>
      <c r="H390" s="9">
        <v>100000</v>
      </c>
      <c r="I390" s="9">
        <v>0</v>
      </c>
      <c r="J390" s="21"/>
    </row>
    <row r="391" spans="1:10" ht="21" x14ac:dyDescent="0.3">
      <c r="A391" s="6" t="s">
        <v>472</v>
      </c>
      <c r="B391" s="6" t="s">
        <v>740</v>
      </c>
      <c r="C391" s="6" t="s">
        <v>761</v>
      </c>
      <c r="D391" s="7">
        <v>46121</v>
      </c>
      <c r="E391" s="8" t="s">
        <v>591</v>
      </c>
      <c r="F391" s="8" t="s">
        <v>426</v>
      </c>
      <c r="G391" s="20" t="s">
        <v>598</v>
      </c>
      <c r="H391" s="9">
        <v>2250</v>
      </c>
      <c r="I391" s="9">
        <v>0</v>
      </c>
      <c r="J391" s="21"/>
    </row>
    <row r="392" spans="1:10" ht="42" x14ac:dyDescent="0.3">
      <c r="A392" s="6" t="s">
        <v>472</v>
      </c>
      <c r="B392" s="6" t="s">
        <v>740</v>
      </c>
      <c r="C392" s="6" t="s">
        <v>761</v>
      </c>
      <c r="D392" s="7">
        <v>46121</v>
      </c>
      <c r="E392" s="8" t="s">
        <v>591</v>
      </c>
      <c r="F392" s="8" t="s">
        <v>426</v>
      </c>
      <c r="G392" s="20" t="s">
        <v>551</v>
      </c>
      <c r="H392" s="9">
        <v>1200</v>
      </c>
      <c r="I392" s="9">
        <v>0</v>
      </c>
      <c r="J392" s="21"/>
    </row>
    <row r="393" spans="1:10" ht="21" x14ac:dyDescent="0.3">
      <c r="A393" s="6" t="s">
        <v>472</v>
      </c>
      <c r="B393" s="6" t="s">
        <v>740</v>
      </c>
      <c r="C393" s="6" t="s">
        <v>761</v>
      </c>
      <c r="D393" s="7">
        <v>46125</v>
      </c>
      <c r="E393" s="8" t="s">
        <v>591</v>
      </c>
      <c r="F393" s="8" t="s">
        <v>426</v>
      </c>
      <c r="G393" s="20" t="s">
        <v>553</v>
      </c>
      <c r="H393" s="9">
        <v>250</v>
      </c>
      <c r="I393" s="9">
        <v>0</v>
      </c>
      <c r="J393" s="21"/>
    </row>
    <row r="394" spans="1:10" ht="21" x14ac:dyDescent="0.3">
      <c r="A394" s="6" t="s">
        <v>472</v>
      </c>
      <c r="B394" s="6" t="s">
        <v>740</v>
      </c>
      <c r="C394" s="6" t="s">
        <v>761</v>
      </c>
      <c r="D394" s="7">
        <v>46125</v>
      </c>
      <c r="E394" s="8" t="s">
        <v>591</v>
      </c>
      <c r="F394" s="8" t="s">
        <v>523</v>
      </c>
      <c r="G394" s="20" t="s">
        <v>554</v>
      </c>
      <c r="H394" s="9">
        <v>1250</v>
      </c>
      <c r="I394" s="9">
        <v>0</v>
      </c>
      <c r="J394" s="21"/>
    </row>
    <row r="395" spans="1:10" ht="42" x14ac:dyDescent="0.3">
      <c r="A395" s="6" t="s">
        <v>472</v>
      </c>
      <c r="B395" s="6" t="s">
        <v>740</v>
      </c>
      <c r="C395" s="6" t="s">
        <v>761</v>
      </c>
      <c r="D395" s="7">
        <v>46126</v>
      </c>
      <c r="E395" s="8" t="s">
        <v>591</v>
      </c>
      <c r="F395" s="8" t="s">
        <v>446</v>
      </c>
      <c r="G395" s="20" t="s">
        <v>555</v>
      </c>
      <c r="H395" s="9">
        <v>50000</v>
      </c>
      <c r="I395" s="9">
        <v>0</v>
      </c>
      <c r="J395" s="21"/>
    </row>
    <row r="396" spans="1:10" ht="42" x14ac:dyDescent="0.3">
      <c r="A396" s="6" t="s">
        <v>472</v>
      </c>
      <c r="B396" s="6" t="s">
        <v>740</v>
      </c>
      <c r="C396" s="6" t="s">
        <v>761</v>
      </c>
      <c r="D396" s="7">
        <v>46126</v>
      </c>
      <c r="E396" s="8" t="s">
        <v>591</v>
      </c>
      <c r="F396" s="8" t="s">
        <v>414</v>
      </c>
      <c r="G396" s="20" t="s">
        <v>573</v>
      </c>
      <c r="H396" s="9">
        <v>385102</v>
      </c>
      <c r="I396" s="9">
        <v>0</v>
      </c>
      <c r="J396" s="21"/>
    </row>
    <row r="397" spans="1:10" ht="21" x14ac:dyDescent="0.3">
      <c r="A397" s="6" t="s">
        <v>472</v>
      </c>
      <c r="B397" s="6" t="s">
        <v>740</v>
      </c>
      <c r="C397" s="6" t="s">
        <v>761</v>
      </c>
      <c r="D397" s="7">
        <v>46128</v>
      </c>
      <c r="E397" s="8" t="s">
        <v>591</v>
      </c>
      <c r="F397" s="8" t="s">
        <v>414</v>
      </c>
      <c r="G397" s="20" t="s">
        <v>574</v>
      </c>
      <c r="H397" s="9">
        <v>40208</v>
      </c>
      <c r="I397" s="9">
        <v>0</v>
      </c>
      <c r="J397" s="21"/>
    </row>
    <row r="398" spans="1:10" ht="21" x14ac:dyDescent="0.3">
      <c r="A398" s="6" t="s">
        <v>472</v>
      </c>
      <c r="B398" s="6" t="s">
        <v>740</v>
      </c>
      <c r="C398" s="6" t="s">
        <v>761</v>
      </c>
      <c r="D398" s="7">
        <v>46128</v>
      </c>
      <c r="E398" s="8" t="s">
        <v>591</v>
      </c>
      <c r="F398" s="8" t="s">
        <v>426</v>
      </c>
      <c r="G398" s="20" t="s">
        <v>556</v>
      </c>
      <c r="H398" s="9">
        <v>3800</v>
      </c>
      <c r="I398" s="9">
        <v>0</v>
      </c>
      <c r="J398" s="21"/>
    </row>
    <row r="399" spans="1:10" ht="42" x14ac:dyDescent="0.3">
      <c r="A399" s="6" t="s">
        <v>472</v>
      </c>
      <c r="B399" s="6" t="s">
        <v>740</v>
      </c>
      <c r="C399" s="6" t="s">
        <v>761</v>
      </c>
      <c r="D399" s="7">
        <v>46128</v>
      </c>
      <c r="E399" s="8" t="s">
        <v>591</v>
      </c>
      <c r="F399" s="8" t="s">
        <v>464</v>
      </c>
      <c r="G399" s="20" t="s">
        <v>576</v>
      </c>
      <c r="H399" s="9">
        <v>1050</v>
      </c>
      <c r="I399" s="9">
        <v>0</v>
      </c>
      <c r="J399" s="21"/>
    </row>
    <row r="400" spans="1:10" ht="21" x14ac:dyDescent="0.3">
      <c r="A400" s="6" t="s">
        <v>472</v>
      </c>
      <c r="B400" s="6" t="s">
        <v>740</v>
      </c>
      <c r="C400" s="6" t="s">
        <v>761</v>
      </c>
      <c r="D400" s="7">
        <v>46128</v>
      </c>
      <c r="E400" s="8" t="s">
        <v>591</v>
      </c>
      <c r="F400" s="8" t="s">
        <v>426</v>
      </c>
      <c r="G400" s="20" t="s">
        <v>558</v>
      </c>
      <c r="H400" s="9">
        <v>5570</v>
      </c>
      <c r="I400" s="9">
        <v>0</v>
      </c>
      <c r="J400" s="21"/>
    </row>
    <row r="401" spans="1:10" ht="21" x14ac:dyDescent="0.3">
      <c r="A401" s="6" t="s">
        <v>472</v>
      </c>
      <c r="B401" s="6" t="s">
        <v>740</v>
      </c>
      <c r="C401" s="6" t="s">
        <v>761</v>
      </c>
      <c r="D401" s="7">
        <v>46128</v>
      </c>
      <c r="E401" s="8" t="s">
        <v>591</v>
      </c>
      <c r="F401" s="8" t="s">
        <v>426</v>
      </c>
      <c r="G401" s="20" t="s">
        <v>559</v>
      </c>
      <c r="H401" s="9">
        <v>2550</v>
      </c>
      <c r="I401" s="9">
        <v>0</v>
      </c>
      <c r="J401" s="21"/>
    </row>
    <row r="402" spans="1:10" ht="21" x14ac:dyDescent="0.3">
      <c r="A402" s="6" t="s">
        <v>472</v>
      </c>
      <c r="B402" s="6" t="s">
        <v>740</v>
      </c>
      <c r="C402" s="6" t="s">
        <v>761</v>
      </c>
      <c r="D402" s="7">
        <v>46128</v>
      </c>
      <c r="E402" s="8" t="s">
        <v>591</v>
      </c>
      <c r="F402" s="8" t="s">
        <v>426</v>
      </c>
      <c r="G402" s="20" t="s">
        <v>560</v>
      </c>
      <c r="H402" s="9">
        <v>4500</v>
      </c>
      <c r="I402" s="9">
        <v>0</v>
      </c>
      <c r="J402" s="21"/>
    </row>
    <row r="403" spans="1:10" ht="42" x14ac:dyDescent="0.3">
      <c r="A403" s="6" t="s">
        <v>472</v>
      </c>
      <c r="B403" s="6" t="s">
        <v>740</v>
      </c>
      <c r="C403" s="6" t="s">
        <v>761</v>
      </c>
      <c r="D403" s="7">
        <v>46128</v>
      </c>
      <c r="E403" s="8" t="s">
        <v>591</v>
      </c>
      <c r="F403" s="8" t="s">
        <v>464</v>
      </c>
      <c r="G403" s="20" t="s">
        <v>577</v>
      </c>
      <c r="H403" s="9">
        <v>1050</v>
      </c>
      <c r="I403" s="9">
        <v>0</v>
      </c>
      <c r="J403" s="21"/>
    </row>
    <row r="404" spans="1:10" ht="21" x14ac:dyDescent="0.3">
      <c r="A404" s="6" t="s">
        <v>472</v>
      </c>
      <c r="B404" s="6" t="s">
        <v>740</v>
      </c>
      <c r="C404" s="6" t="s">
        <v>761</v>
      </c>
      <c r="D404" s="7">
        <v>46128</v>
      </c>
      <c r="E404" s="8" t="s">
        <v>591</v>
      </c>
      <c r="F404" s="8" t="s">
        <v>653</v>
      </c>
      <c r="G404" s="20" t="s">
        <v>575</v>
      </c>
      <c r="H404" s="9">
        <v>700</v>
      </c>
      <c r="I404" s="9">
        <v>0</v>
      </c>
      <c r="J404" s="21"/>
    </row>
    <row r="405" spans="1:10" ht="42" x14ac:dyDescent="0.3">
      <c r="A405" s="6" t="s">
        <v>472</v>
      </c>
      <c r="B405" s="6" t="s">
        <v>740</v>
      </c>
      <c r="C405" s="6" t="s">
        <v>761</v>
      </c>
      <c r="D405" s="7">
        <v>46128</v>
      </c>
      <c r="E405" s="8" t="s">
        <v>591</v>
      </c>
      <c r="F405" s="8" t="s">
        <v>539</v>
      </c>
      <c r="G405" s="20" t="s">
        <v>563</v>
      </c>
      <c r="H405" s="9">
        <v>20000</v>
      </c>
      <c r="I405" s="9">
        <v>0</v>
      </c>
      <c r="J405" s="21"/>
    </row>
    <row r="406" spans="1:10" ht="21" x14ac:dyDescent="0.3">
      <c r="A406" s="6" t="s">
        <v>472</v>
      </c>
      <c r="B406" s="6" t="s">
        <v>740</v>
      </c>
      <c r="C406" s="6" t="s">
        <v>761</v>
      </c>
      <c r="D406" s="7">
        <v>46128</v>
      </c>
      <c r="E406" s="8" t="s">
        <v>591</v>
      </c>
      <c r="F406" s="8" t="s">
        <v>754</v>
      </c>
      <c r="G406" s="20" t="s">
        <v>561</v>
      </c>
      <c r="H406" s="9">
        <v>23000</v>
      </c>
      <c r="I406" s="9">
        <v>0</v>
      </c>
      <c r="J406" s="21"/>
    </row>
    <row r="407" spans="1:10" ht="21" x14ac:dyDescent="0.3">
      <c r="A407" s="6" t="s">
        <v>472</v>
      </c>
      <c r="B407" s="6" t="s">
        <v>740</v>
      </c>
      <c r="C407" s="6" t="s">
        <v>761</v>
      </c>
      <c r="D407" s="7">
        <v>46128</v>
      </c>
      <c r="E407" s="8" t="s">
        <v>591</v>
      </c>
      <c r="F407" s="8" t="s">
        <v>438</v>
      </c>
      <c r="G407" s="20" t="s">
        <v>590</v>
      </c>
      <c r="H407" s="9">
        <v>19000</v>
      </c>
      <c r="I407" s="9">
        <v>0</v>
      </c>
      <c r="J407" s="21"/>
    </row>
    <row r="408" spans="1:10" ht="21" x14ac:dyDescent="0.3">
      <c r="A408" s="6" t="s">
        <v>472</v>
      </c>
      <c r="B408" s="6" t="s">
        <v>740</v>
      </c>
      <c r="C408" s="6" t="s">
        <v>761</v>
      </c>
      <c r="D408" s="7">
        <v>46128</v>
      </c>
      <c r="E408" s="8" t="s">
        <v>591</v>
      </c>
      <c r="F408" s="8" t="s">
        <v>464</v>
      </c>
      <c r="G408" s="20" t="s">
        <v>562</v>
      </c>
      <c r="H408" s="9">
        <v>750</v>
      </c>
      <c r="I408" s="9">
        <v>0</v>
      </c>
      <c r="J408" s="21"/>
    </row>
    <row r="409" spans="1:10" ht="63" x14ac:dyDescent="0.3">
      <c r="A409" s="6" t="s">
        <v>472</v>
      </c>
      <c r="B409" s="6" t="s">
        <v>740</v>
      </c>
      <c r="C409" s="6" t="s">
        <v>761</v>
      </c>
      <c r="D409" s="7">
        <v>46131</v>
      </c>
      <c r="E409" s="8" t="s">
        <v>591</v>
      </c>
      <c r="F409" s="8" t="s">
        <v>727</v>
      </c>
      <c r="G409" s="20" t="s">
        <v>578</v>
      </c>
      <c r="H409" s="9">
        <v>8460</v>
      </c>
      <c r="I409" s="9">
        <v>0</v>
      </c>
      <c r="J409" s="21"/>
    </row>
    <row r="410" spans="1:10" ht="21" x14ac:dyDescent="0.3">
      <c r="A410" s="6" t="s">
        <v>472</v>
      </c>
      <c r="B410" s="6" t="s">
        <v>740</v>
      </c>
      <c r="C410" s="6" t="s">
        <v>761</v>
      </c>
      <c r="D410" s="7">
        <v>46131</v>
      </c>
      <c r="E410" s="8" t="s">
        <v>591</v>
      </c>
      <c r="F410" s="8" t="s">
        <v>426</v>
      </c>
      <c r="G410" s="20" t="s">
        <v>565</v>
      </c>
      <c r="H410" s="9">
        <v>12000</v>
      </c>
      <c r="I410" s="9">
        <v>0</v>
      </c>
      <c r="J410" s="21"/>
    </row>
    <row r="411" spans="1:10" ht="21" x14ac:dyDescent="0.3">
      <c r="A411" s="6" t="s">
        <v>472</v>
      </c>
      <c r="B411" s="6" t="s">
        <v>740</v>
      </c>
      <c r="C411" s="6" t="s">
        <v>761</v>
      </c>
      <c r="D411" s="7">
        <v>46131</v>
      </c>
      <c r="E411" s="8" t="s">
        <v>591</v>
      </c>
      <c r="F411" s="8" t="s">
        <v>426</v>
      </c>
      <c r="G411" s="20" t="s">
        <v>568</v>
      </c>
      <c r="H411" s="9">
        <v>200</v>
      </c>
      <c r="I411" s="9">
        <v>0</v>
      </c>
      <c r="J411" s="21"/>
    </row>
    <row r="412" spans="1:10" ht="21" x14ac:dyDescent="0.3">
      <c r="A412" s="6" t="s">
        <v>472</v>
      </c>
      <c r="B412" s="6" t="s">
        <v>740</v>
      </c>
      <c r="C412" s="6" t="s">
        <v>761</v>
      </c>
      <c r="D412" s="7">
        <v>46131</v>
      </c>
      <c r="E412" s="8" t="s">
        <v>591</v>
      </c>
      <c r="F412" s="8" t="s">
        <v>446</v>
      </c>
      <c r="G412" s="20" t="s">
        <v>566</v>
      </c>
      <c r="H412" s="9">
        <v>820</v>
      </c>
      <c r="I412" s="9">
        <v>0</v>
      </c>
      <c r="J412" s="21"/>
    </row>
    <row r="413" spans="1:10" ht="21" x14ac:dyDescent="0.3">
      <c r="A413" s="6" t="s">
        <v>472</v>
      </c>
      <c r="B413" s="6" t="s">
        <v>740</v>
      </c>
      <c r="C413" s="6" t="s">
        <v>761</v>
      </c>
      <c r="D413" s="7">
        <v>46131</v>
      </c>
      <c r="E413" s="8" t="s">
        <v>591</v>
      </c>
      <c r="F413" s="8" t="s">
        <v>717</v>
      </c>
      <c r="G413" s="20" t="s">
        <v>579</v>
      </c>
      <c r="H413" s="9">
        <v>2100</v>
      </c>
      <c r="I413" s="9">
        <v>0</v>
      </c>
      <c r="J413" s="21"/>
    </row>
    <row r="414" spans="1:10" ht="21" x14ac:dyDescent="0.3">
      <c r="A414" s="6" t="s">
        <v>472</v>
      </c>
      <c r="B414" s="6" t="s">
        <v>740</v>
      </c>
      <c r="C414" s="6" t="s">
        <v>761</v>
      </c>
      <c r="D414" s="7">
        <v>46131</v>
      </c>
      <c r="E414" s="8" t="s">
        <v>591</v>
      </c>
      <c r="F414" s="8" t="s">
        <v>653</v>
      </c>
      <c r="G414" s="20" t="s">
        <v>567</v>
      </c>
      <c r="H414" s="9">
        <v>3300</v>
      </c>
      <c r="I414" s="9">
        <v>0</v>
      </c>
      <c r="J414" s="21"/>
    </row>
    <row r="415" spans="1:10" ht="21" x14ac:dyDescent="0.3">
      <c r="A415" s="6" t="s">
        <v>472</v>
      </c>
      <c r="B415" s="6" t="s">
        <v>740</v>
      </c>
      <c r="C415" s="6" t="s">
        <v>761</v>
      </c>
      <c r="D415" s="7">
        <v>46131</v>
      </c>
      <c r="E415" s="8" t="s">
        <v>591</v>
      </c>
      <c r="F415" s="8" t="s">
        <v>717</v>
      </c>
      <c r="G415" s="20" t="s">
        <v>583</v>
      </c>
      <c r="H415" s="9">
        <v>160</v>
      </c>
      <c r="I415" s="9">
        <v>0</v>
      </c>
      <c r="J415" s="21"/>
    </row>
    <row r="416" spans="1:10" ht="42" x14ac:dyDescent="0.3">
      <c r="A416" s="6" t="s">
        <v>472</v>
      </c>
      <c r="B416" s="6" t="s">
        <v>740</v>
      </c>
      <c r="C416" s="6" t="s">
        <v>761</v>
      </c>
      <c r="D416" s="7">
        <v>46131</v>
      </c>
      <c r="E416" s="8" t="s">
        <v>591</v>
      </c>
      <c r="F416" s="8" t="s">
        <v>464</v>
      </c>
      <c r="G416" s="20" t="s">
        <v>576</v>
      </c>
      <c r="H416" s="9">
        <v>1050</v>
      </c>
      <c r="I416" s="9">
        <v>0</v>
      </c>
      <c r="J416" s="21"/>
    </row>
    <row r="417" spans="1:10" ht="42" x14ac:dyDescent="0.3">
      <c r="A417" s="6" t="s">
        <v>472</v>
      </c>
      <c r="B417" s="6" t="s">
        <v>740</v>
      </c>
      <c r="C417" s="6" t="s">
        <v>761</v>
      </c>
      <c r="D417" s="7">
        <v>46131</v>
      </c>
      <c r="E417" s="8" t="s">
        <v>591</v>
      </c>
      <c r="F417" s="8" t="s">
        <v>752</v>
      </c>
      <c r="G417" s="20" t="s">
        <v>644</v>
      </c>
      <c r="H417" s="9">
        <v>12000</v>
      </c>
      <c r="I417" s="9">
        <v>0</v>
      </c>
      <c r="J417" s="21"/>
    </row>
    <row r="418" spans="1:10" ht="42" x14ac:dyDescent="0.3">
      <c r="A418" s="6" t="s">
        <v>472</v>
      </c>
      <c r="B418" s="6" t="s">
        <v>740</v>
      </c>
      <c r="C418" s="6" t="s">
        <v>761</v>
      </c>
      <c r="D418" s="7">
        <v>46135</v>
      </c>
      <c r="E418" s="8" t="s">
        <v>591</v>
      </c>
      <c r="F418" s="8" t="s">
        <v>539</v>
      </c>
      <c r="G418" s="20" t="s">
        <v>586</v>
      </c>
      <c r="H418" s="9">
        <v>25000</v>
      </c>
      <c r="I418" s="9">
        <v>0</v>
      </c>
      <c r="J418" s="21"/>
    </row>
    <row r="419" spans="1:10" ht="21" x14ac:dyDescent="0.3">
      <c r="A419" s="6" t="s">
        <v>472</v>
      </c>
      <c r="B419" s="6" t="s">
        <v>740</v>
      </c>
      <c r="C419" s="6" t="s">
        <v>761</v>
      </c>
      <c r="D419" s="7">
        <v>46135</v>
      </c>
      <c r="E419" s="8" t="s">
        <v>591</v>
      </c>
      <c r="F419" s="8" t="s">
        <v>426</v>
      </c>
      <c r="G419" s="20" t="s">
        <v>585</v>
      </c>
      <c r="H419" s="9">
        <v>2150</v>
      </c>
      <c r="I419" s="9">
        <v>0</v>
      </c>
      <c r="J419" s="21"/>
    </row>
    <row r="420" spans="1:10" ht="21" x14ac:dyDescent="0.3">
      <c r="A420" s="6" t="s">
        <v>472</v>
      </c>
      <c r="B420" s="6" t="s">
        <v>740</v>
      </c>
      <c r="C420" s="6" t="s">
        <v>761</v>
      </c>
      <c r="D420" s="7">
        <v>46135</v>
      </c>
      <c r="E420" s="8" t="s">
        <v>591</v>
      </c>
      <c r="F420" s="8" t="s">
        <v>464</v>
      </c>
      <c r="G420" s="20" t="s">
        <v>609</v>
      </c>
      <c r="H420" s="9">
        <v>1500</v>
      </c>
      <c r="I420" s="9">
        <v>0</v>
      </c>
      <c r="J420" s="21"/>
    </row>
    <row r="421" spans="1:10" ht="21" x14ac:dyDescent="0.3">
      <c r="A421" s="6" t="s">
        <v>472</v>
      </c>
      <c r="B421" s="6" t="s">
        <v>740</v>
      </c>
      <c r="C421" s="6" t="s">
        <v>761</v>
      </c>
      <c r="D421" s="7">
        <v>46135</v>
      </c>
      <c r="E421" s="8" t="s">
        <v>591</v>
      </c>
      <c r="F421" s="8" t="s">
        <v>523</v>
      </c>
      <c r="G421" s="20" t="s">
        <v>589</v>
      </c>
      <c r="H421" s="9">
        <v>5000</v>
      </c>
      <c r="I421" s="9">
        <v>0</v>
      </c>
      <c r="J421" s="21"/>
    </row>
    <row r="422" spans="1:10" ht="21" x14ac:dyDescent="0.3">
      <c r="A422" s="6" t="s">
        <v>472</v>
      </c>
      <c r="B422" s="6" t="s">
        <v>740</v>
      </c>
      <c r="C422" s="6" t="s">
        <v>761</v>
      </c>
      <c r="D422" s="7">
        <v>46135</v>
      </c>
      <c r="E422" s="8" t="s">
        <v>591</v>
      </c>
      <c r="F422" s="8" t="s">
        <v>438</v>
      </c>
      <c r="G422" s="20" t="s">
        <v>588</v>
      </c>
      <c r="H422" s="9">
        <v>14000</v>
      </c>
      <c r="I422" s="9">
        <v>0</v>
      </c>
      <c r="J422" s="21"/>
    </row>
    <row r="423" spans="1:10" ht="21" x14ac:dyDescent="0.3">
      <c r="A423" s="6" t="s">
        <v>472</v>
      </c>
      <c r="B423" s="6" t="s">
        <v>740</v>
      </c>
      <c r="C423" s="6" t="s">
        <v>761</v>
      </c>
      <c r="D423" s="7">
        <v>46135</v>
      </c>
      <c r="E423" s="8" t="s">
        <v>591</v>
      </c>
      <c r="F423" s="8" t="s">
        <v>717</v>
      </c>
      <c r="G423" s="20" t="s">
        <v>599</v>
      </c>
      <c r="H423" s="9">
        <v>70</v>
      </c>
      <c r="I423" s="9">
        <v>0</v>
      </c>
      <c r="J423" s="21"/>
    </row>
    <row r="424" spans="1:10" ht="42" x14ac:dyDescent="0.3">
      <c r="A424" s="6" t="s">
        <v>472</v>
      </c>
      <c r="B424" s="6" t="s">
        <v>740</v>
      </c>
      <c r="C424" s="6" t="s">
        <v>761</v>
      </c>
      <c r="D424" s="7">
        <v>46135</v>
      </c>
      <c r="E424" s="8" t="s">
        <v>591</v>
      </c>
      <c r="F424" s="8" t="s">
        <v>464</v>
      </c>
      <c r="G424" s="20" t="s">
        <v>587</v>
      </c>
      <c r="H424" s="9">
        <v>1050</v>
      </c>
      <c r="I424" s="9">
        <v>0</v>
      </c>
      <c r="J424" s="21"/>
    </row>
    <row r="425" spans="1:10" ht="21" x14ac:dyDescent="0.3">
      <c r="A425" s="6" t="s">
        <v>472</v>
      </c>
      <c r="B425" s="6" t="s">
        <v>740</v>
      </c>
      <c r="C425" s="6" t="s">
        <v>761</v>
      </c>
      <c r="D425" s="7">
        <v>46139</v>
      </c>
      <c r="E425" s="8" t="s">
        <v>591</v>
      </c>
      <c r="F425" s="8" t="s">
        <v>426</v>
      </c>
      <c r="G425" s="20" t="s">
        <v>600</v>
      </c>
      <c r="H425" s="9">
        <v>2551</v>
      </c>
      <c r="I425" s="9">
        <v>0</v>
      </c>
      <c r="J425" s="21"/>
    </row>
    <row r="426" spans="1:10" ht="42" x14ac:dyDescent="0.3">
      <c r="A426" s="6" t="s">
        <v>472</v>
      </c>
      <c r="B426" s="6" t="s">
        <v>740</v>
      </c>
      <c r="C426" s="6" t="s">
        <v>761</v>
      </c>
      <c r="D426" s="7">
        <v>46139</v>
      </c>
      <c r="E426" s="8" t="s">
        <v>591</v>
      </c>
      <c r="F426" s="8" t="s">
        <v>727</v>
      </c>
      <c r="G426" s="20" t="s">
        <v>604</v>
      </c>
      <c r="H426" s="9">
        <v>1540</v>
      </c>
      <c r="I426" s="9">
        <v>0</v>
      </c>
      <c r="J426" s="21"/>
    </row>
    <row r="427" spans="1:10" ht="21" x14ac:dyDescent="0.3">
      <c r="A427" s="6" t="s">
        <v>472</v>
      </c>
      <c r="B427" s="6" t="s">
        <v>740</v>
      </c>
      <c r="C427" s="6" t="s">
        <v>761</v>
      </c>
      <c r="D427" s="7">
        <v>46141</v>
      </c>
      <c r="E427" s="8" t="s">
        <v>591</v>
      </c>
      <c r="F427" s="8" t="s">
        <v>165</v>
      </c>
      <c r="G427" s="20" t="s">
        <v>605</v>
      </c>
      <c r="H427" s="9">
        <v>260000</v>
      </c>
      <c r="I427" s="9">
        <v>0</v>
      </c>
      <c r="J427" s="21"/>
    </row>
    <row r="428" spans="1:10" ht="21" x14ac:dyDescent="0.3">
      <c r="A428" s="6" t="s">
        <v>472</v>
      </c>
      <c r="B428" s="6" t="s">
        <v>740</v>
      </c>
      <c r="C428" s="6" t="s">
        <v>761</v>
      </c>
      <c r="D428" s="7">
        <v>46141</v>
      </c>
      <c r="E428" s="8" t="s">
        <v>591</v>
      </c>
      <c r="F428" s="8" t="s">
        <v>464</v>
      </c>
      <c r="G428" s="20" t="s">
        <v>612</v>
      </c>
      <c r="H428" s="9">
        <v>1050</v>
      </c>
      <c r="I428" s="9">
        <v>0</v>
      </c>
      <c r="J428" s="21"/>
    </row>
    <row r="429" spans="1:10" ht="42" x14ac:dyDescent="0.3">
      <c r="A429" s="6" t="s">
        <v>472</v>
      </c>
      <c r="B429" s="6" t="s">
        <v>740</v>
      </c>
      <c r="C429" s="6" t="s">
        <v>761</v>
      </c>
      <c r="D429" s="7">
        <v>46142</v>
      </c>
      <c r="E429" s="8" t="s">
        <v>591</v>
      </c>
      <c r="F429" s="8" t="s">
        <v>59</v>
      </c>
      <c r="G429" s="20" t="s">
        <v>606</v>
      </c>
      <c r="H429" s="9">
        <v>9000</v>
      </c>
      <c r="I429" s="9">
        <v>0</v>
      </c>
      <c r="J429" s="21"/>
    </row>
    <row r="430" spans="1:10" ht="42" x14ac:dyDescent="0.3">
      <c r="A430" s="6" t="s">
        <v>472</v>
      </c>
      <c r="B430" s="6" t="s">
        <v>740</v>
      </c>
      <c r="C430" s="6" t="s">
        <v>761</v>
      </c>
      <c r="D430" s="7">
        <v>46142</v>
      </c>
      <c r="E430" s="8" t="s">
        <v>591</v>
      </c>
      <c r="F430" s="8" t="s">
        <v>464</v>
      </c>
      <c r="G430" s="20" t="s">
        <v>607</v>
      </c>
      <c r="H430" s="9">
        <v>4500</v>
      </c>
      <c r="I430" s="9">
        <v>0</v>
      </c>
      <c r="J430" s="21"/>
    </row>
    <row r="431" spans="1:10" ht="21" x14ac:dyDescent="0.3">
      <c r="A431" s="6" t="s">
        <v>472</v>
      </c>
      <c r="B431" s="6" t="s">
        <v>740</v>
      </c>
      <c r="C431" s="6" t="s">
        <v>761</v>
      </c>
      <c r="D431" s="7">
        <v>46142</v>
      </c>
      <c r="E431" s="8" t="s">
        <v>591</v>
      </c>
      <c r="F431" s="8" t="s">
        <v>754</v>
      </c>
      <c r="G431" s="20" t="s">
        <v>608</v>
      </c>
      <c r="H431" s="9">
        <v>17600</v>
      </c>
      <c r="I431" s="9">
        <v>0</v>
      </c>
      <c r="J431" s="21"/>
    </row>
    <row r="432" spans="1:10" ht="42" x14ac:dyDescent="0.3">
      <c r="A432" s="6" t="s">
        <v>472</v>
      </c>
      <c r="B432" s="6" t="s">
        <v>740</v>
      </c>
      <c r="C432" s="6" t="s">
        <v>761</v>
      </c>
      <c r="D432" s="7">
        <v>46142</v>
      </c>
      <c r="E432" s="8" t="s">
        <v>591</v>
      </c>
      <c r="F432" s="8" t="s">
        <v>539</v>
      </c>
      <c r="G432" s="20" t="s">
        <v>610</v>
      </c>
      <c r="H432" s="9">
        <v>2000</v>
      </c>
      <c r="I432" s="9">
        <v>0</v>
      </c>
      <c r="J432" s="21"/>
    </row>
    <row r="433" spans="1:10" ht="42" x14ac:dyDescent="0.3">
      <c r="A433" s="6" t="s">
        <v>472</v>
      </c>
      <c r="B433" s="6" t="s">
        <v>740</v>
      </c>
      <c r="C433" s="6" t="s">
        <v>761</v>
      </c>
      <c r="D433" s="7">
        <v>46142</v>
      </c>
      <c r="E433" s="8" t="s">
        <v>591</v>
      </c>
      <c r="F433" s="8" t="s">
        <v>464</v>
      </c>
      <c r="G433" s="20" t="s">
        <v>611</v>
      </c>
      <c r="H433" s="9">
        <v>1050</v>
      </c>
      <c r="I433" s="9">
        <v>0</v>
      </c>
      <c r="J433" s="21"/>
    </row>
    <row r="434" spans="1:10" ht="21" x14ac:dyDescent="0.3">
      <c r="A434" s="6" t="s">
        <v>472</v>
      </c>
      <c r="B434" s="6" t="s">
        <v>740</v>
      </c>
      <c r="C434" s="6" t="s">
        <v>761</v>
      </c>
      <c r="D434" s="7">
        <v>46142</v>
      </c>
      <c r="E434" s="8" t="s">
        <v>591</v>
      </c>
      <c r="F434" s="8" t="s">
        <v>652</v>
      </c>
      <c r="G434" s="20" t="s">
        <v>613</v>
      </c>
      <c r="H434" s="9">
        <v>284050</v>
      </c>
      <c r="I434" s="9">
        <v>0</v>
      </c>
      <c r="J434" s="21"/>
    </row>
    <row r="435" spans="1:10" ht="21" x14ac:dyDescent="0.3">
      <c r="A435" s="6" t="s">
        <v>472</v>
      </c>
      <c r="B435" s="6" t="s">
        <v>740</v>
      </c>
      <c r="C435" s="6" t="s">
        <v>761</v>
      </c>
      <c r="D435" s="7">
        <v>46148</v>
      </c>
      <c r="E435" s="8" t="s">
        <v>591</v>
      </c>
      <c r="F435" s="8" t="s">
        <v>717</v>
      </c>
      <c r="G435" s="20" t="s">
        <v>631</v>
      </c>
      <c r="H435" s="9">
        <v>1750</v>
      </c>
      <c r="I435" s="9">
        <v>0</v>
      </c>
      <c r="J435" s="21"/>
    </row>
    <row r="436" spans="1:10" ht="21" x14ac:dyDescent="0.3">
      <c r="A436" s="6" t="s">
        <v>472</v>
      </c>
      <c r="B436" s="6" t="s">
        <v>740</v>
      </c>
      <c r="C436" s="6" t="s">
        <v>761</v>
      </c>
      <c r="D436" s="7">
        <v>46148</v>
      </c>
      <c r="E436" s="8" t="s">
        <v>591</v>
      </c>
      <c r="F436" s="8" t="s">
        <v>478</v>
      </c>
      <c r="G436" s="20" t="s">
        <v>617</v>
      </c>
      <c r="H436" s="9">
        <v>50000</v>
      </c>
      <c r="I436" s="9">
        <v>0</v>
      </c>
      <c r="J436" s="21"/>
    </row>
    <row r="437" spans="1:10" ht="21" x14ac:dyDescent="0.3">
      <c r="A437" s="6" t="s">
        <v>472</v>
      </c>
      <c r="B437" s="6" t="s">
        <v>740</v>
      </c>
      <c r="C437" s="6" t="s">
        <v>761</v>
      </c>
      <c r="D437" s="7">
        <v>46148</v>
      </c>
      <c r="E437" s="8" t="s">
        <v>591</v>
      </c>
      <c r="F437" s="8" t="s">
        <v>414</v>
      </c>
      <c r="G437" s="20" t="s">
        <v>622</v>
      </c>
      <c r="H437" s="9">
        <v>450</v>
      </c>
      <c r="I437" s="9">
        <v>0</v>
      </c>
      <c r="J437" s="21"/>
    </row>
    <row r="438" spans="1:10" ht="21" x14ac:dyDescent="0.3">
      <c r="A438" s="6" t="s">
        <v>472</v>
      </c>
      <c r="B438" s="6" t="s">
        <v>740</v>
      </c>
      <c r="C438" s="6" t="s">
        <v>761</v>
      </c>
      <c r="D438" s="7">
        <v>46148</v>
      </c>
      <c r="E438" s="8" t="s">
        <v>591</v>
      </c>
      <c r="F438" s="8" t="s">
        <v>94</v>
      </c>
      <c r="G438" s="20" t="s">
        <v>630</v>
      </c>
      <c r="H438" s="9">
        <v>4000</v>
      </c>
      <c r="I438" s="9">
        <v>0</v>
      </c>
      <c r="J438" s="21"/>
    </row>
    <row r="439" spans="1:10" ht="21" x14ac:dyDescent="0.3">
      <c r="A439" s="6" t="s">
        <v>472</v>
      </c>
      <c r="B439" s="6" t="s">
        <v>740</v>
      </c>
      <c r="C439" s="6" t="s">
        <v>761</v>
      </c>
      <c r="D439" s="7">
        <v>46148</v>
      </c>
      <c r="E439" s="8" t="s">
        <v>591</v>
      </c>
      <c r="F439" s="8" t="s">
        <v>754</v>
      </c>
      <c r="G439" s="20" t="s">
        <v>623</v>
      </c>
      <c r="H439" s="9">
        <v>10000</v>
      </c>
      <c r="I439" s="9">
        <v>0</v>
      </c>
      <c r="J439" s="21"/>
    </row>
    <row r="440" spans="1:10" ht="21" x14ac:dyDescent="0.3">
      <c r="A440" s="6" t="s">
        <v>472</v>
      </c>
      <c r="B440" s="6" t="s">
        <v>740</v>
      </c>
      <c r="C440" s="6" t="s">
        <v>761</v>
      </c>
      <c r="D440" s="7">
        <v>46151</v>
      </c>
      <c r="E440" s="8" t="s">
        <v>591</v>
      </c>
      <c r="F440" s="8" t="s">
        <v>414</v>
      </c>
      <c r="G440" s="20" t="s">
        <v>639</v>
      </c>
      <c r="H440" s="9">
        <v>1450</v>
      </c>
      <c r="I440" s="9">
        <v>0</v>
      </c>
      <c r="J440" s="21"/>
    </row>
    <row r="441" spans="1:10" ht="21" x14ac:dyDescent="0.3">
      <c r="A441" s="6" t="s">
        <v>472</v>
      </c>
      <c r="B441" s="6" t="s">
        <v>740</v>
      </c>
      <c r="C441" s="6" t="s">
        <v>761</v>
      </c>
      <c r="D441" s="7">
        <v>46151</v>
      </c>
      <c r="E441" s="8" t="s">
        <v>591</v>
      </c>
      <c r="F441" s="8" t="s">
        <v>414</v>
      </c>
      <c r="G441" s="20" t="s">
        <v>640</v>
      </c>
      <c r="H441" s="9">
        <v>900</v>
      </c>
      <c r="I441" s="9">
        <v>0</v>
      </c>
      <c r="J441" s="21"/>
    </row>
    <row r="442" spans="1:10" ht="21" x14ac:dyDescent="0.3">
      <c r="A442" s="6" t="s">
        <v>472</v>
      </c>
      <c r="B442" s="6" t="s">
        <v>740</v>
      </c>
      <c r="C442" s="6" t="s">
        <v>761</v>
      </c>
      <c r="D442" s="7">
        <v>46151</v>
      </c>
      <c r="E442" s="8" t="s">
        <v>591</v>
      </c>
      <c r="F442" s="8" t="s">
        <v>414</v>
      </c>
      <c r="G442" s="20" t="s">
        <v>641</v>
      </c>
      <c r="H442" s="9">
        <v>915</v>
      </c>
      <c r="I442" s="9">
        <v>0</v>
      </c>
      <c r="J442" s="21"/>
    </row>
    <row r="443" spans="1:10" ht="21" x14ac:dyDescent="0.3">
      <c r="A443" s="6" t="s">
        <v>472</v>
      </c>
      <c r="B443" s="6" t="s">
        <v>740</v>
      </c>
      <c r="C443" s="6" t="s">
        <v>761</v>
      </c>
      <c r="D443" s="7">
        <v>46152</v>
      </c>
      <c r="E443" s="8" t="s">
        <v>591</v>
      </c>
      <c r="F443" s="8" t="s">
        <v>464</v>
      </c>
      <c r="G443" s="20" t="s">
        <v>655</v>
      </c>
      <c r="H443" s="9">
        <v>600</v>
      </c>
      <c r="I443" s="9">
        <v>0</v>
      </c>
      <c r="J443" s="21"/>
    </row>
    <row r="444" spans="1:10" ht="42" x14ac:dyDescent="0.3">
      <c r="A444" s="6" t="s">
        <v>472</v>
      </c>
      <c r="B444" s="6" t="s">
        <v>740</v>
      </c>
      <c r="C444" s="6" t="s">
        <v>761</v>
      </c>
      <c r="D444" s="7">
        <v>46152</v>
      </c>
      <c r="E444" s="8" t="s">
        <v>591</v>
      </c>
      <c r="F444" s="8" t="s">
        <v>752</v>
      </c>
      <c r="G444" s="20" t="s">
        <v>643</v>
      </c>
      <c r="H444" s="9">
        <v>810</v>
      </c>
      <c r="I444" s="9">
        <v>0</v>
      </c>
      <c r="J444" s="21"/>
    </row>
    <row r="445" spans="1:10" ht="42" x14ac:dyDescent="0.3">
      <c r="A445" s="6" t="s">
        <v>472</v>
      </c>
      <c r="B445" s="6" t="s">
        <v>740</v>
      </c>
      <c r="C445" s="6" t="s">
        <v>761</v>
      </c>
      <c r="D445" s="7">
        <v>46152</v>
      </c>
      <c r="E445" s="8" t="s">
        <v>591</v>
      </c>
      <c r="F445" s="8" t="s">
        <v>464</v>
      </c>
      <c r="G445" s="20" t="s">
        <v>642</v>
      </c>
      <c r="H445" s="9">
        <v>750</v>
      </c>
      <c r="I445" s="9">
        <v>0</v>
      </c>
      <c r="J445" s="21"/>
    </row>
    <row r="446" spans="1:10" ht="21" x14ac:dyDescent="0.3">
      <c r="A446" s="6" t="s">
        <v>472</v>
      </c>
      <c r="B446" s="6" t="s">
        <v>740</v>
      </c>
      <c r="C446" s="6" t="s">
        <v>761</v>
      </c>
      <c r="D446" s="7">
        <v>46152</v>
      </c>
      <c r="E446" s="8" t="s">
        <v>591</v>
      </c>
      <c r="F446" s="8" t="s">
        <v>652</v>
      </c>
      <c r="G446" s="20" t="s">
        <v>682</v>
      </c>
      <c r="H446" s="9">
        <v>98000</v>
      </c>
      <c r="I446" s="9">
        <v>0</v>
      </c>
      <c r="J446" s="21"/>
    </row>
    <row r="447" spans="1:10" ht="21" x14ac:dyDescent="0.3">
      <c r="A447" s="6" t="s">
        <v>472</v>
      </c>
      <c r="B447" s="6" t="s">
        <v>740</v>
      </c>
      <c r="C447" s="6" t="s">
        <v>761</v>
      </c>
      <c r="D447" s="7">
        <v>46153</v>
      </c>
      <c r="E447" s="8" t="s">
        <v>591</v>
      </c>
      <c r="F447" s="8" t="s">
        <v>464</v>
      </c>
      <c r="G447" s="20" t="s">
        <v>645</v>
      </c>
      <c r="H447" s="9">
        <v>600</v>
      </c>
      <c r="I447" s="9">
        <v>0</v>
      </c>
      <c r="J447" s="21"/>
    </row>
    <row r="448" spans="1:10" ht="21" x14ac:dyDescent="0.3">
      <c r="A448" s="6" t="s">
        <v>472</v>
      </c>
      <c r="B448" s="6" t="s">
        <v>740</v>
      </c>
      <c r="C448" s="6" t="s">
        <v>761</v>
      </c>
      <c r="D448" s="7">
        <v>46153</v>
      </c>
      <c r="E448" s="8" t="s">
        <v>591</v>
      </c>
      <c r="F448" s="8" t="s">
        <v>647</v>
      </c>
      <c r="G448" s="20" t="s">
        <v>646</v>
      </c>
      <c r="H448" s="9">
        <v>150</v>
      </c>
      <c r="I448" s="9">
        <v>0</v>
      </c>
      <c r="J448" s="21"/>
    </row>
    <row r="449" spans="1:10" ht="21" x14ac:dyDescent="0.3">
      <c r="A449" s="6" t="s">
        <v>472</v>
      </c>
      <c r="B449" s="6" t="s">
        <v>740</v>
      </c>
      <c r="C449" s="6" t="s">
        <v>761</v>
      </c>
      <c r="D449" s="7">
        <v>46153</v>
      </c>
      <c r="E449" s="8" t="s">
        <v>591</v>
      </c>
      <c r="F449" s="8" t="s">
        <v>25</v>
      </c>
      <c r="G449" s="20" t="s">
        <v>648</v>
      </c>
      <c r="H449" s="9">
        <v>400</v>
      </c>
      <c r="I449" s="9">
        <v>0</v>
      </c>
      <c r="J449" s="21"/>
    </row>
    <row r="450" spans="1:10" ht="21" x14ac:dyDescent="0.3">
      <c r="A450" s="6" t="s">
        <v>472</v>
      </c>
      <c r="B450" s="6" t="s">
        <v>740</v>
      </c>
      <c r="C450" s="6" t="s">
        <v>761</v>
      </c>
      <c r="D450" s="7">
        <v>46154</v>
      </c>
      <c r="E450" s="8" t="s">
        <v>591</v>
      </c>
      <c r="F450" s="8" t="s">
        <v>464</v>
      </c>
      <c r="G450" s="20" t="s">
        <v>683</v>
      </c>
      <c r="H450" s="9">
        <v>350</v>
      </c>
      <c r="I450" s="9">
        <v>0</v>
      </c>
      <c r="J450" s="21"/>
    </row>
    <row r="451" spans="1:10" ht="21" x14ac:dyDescent="0.3">
      <c r="A451" s="6" t="s">
        <v>472</v>
      </c>
      <c r="B451" s="6" t="s">
        <v>740</v>
      </c>
      <c r="C451" s="6" t="s">
        <v>761</v>
      </c>
      <c r="D451" s="7">
        <v>46154</v>
      </c>
      <c r="E451" s="8" t="s">
        <v>591</v>
      </c>
      <c r="F451" s="8" t="s">
        <v>195</v>
      </c>
      <c r="G451" s="20" t="s">
        <v>649</v>
      </c>
      <c r="H451" s="9">
        <v>49450</v>
      </c>
      <c r="I451" s="9">
        <v>0</v>
      </c>
      <c r="J451" s="21"/>
    </row>
    <row r="452" spans="1:10" ht="21" x14ac:dyDescent="0.3">
      <c r="A452" s="6" t="s">
        <v>472</v>
      </c>
      <c r="B452" s="6" t="s">
        <v>740</v>
      </c>
      <c r="C452" s="6" t="s">
        <v>761</v>
      </c>
      <c r="D452" s="7">
        <v>46154</v>
      </c>
      <c r="E452" s="8" t="s">
        <v>591</v>
      </c>
      <c r="F452" s="8" t="s">
        <v>652</v>
      </c>
      <c r="G452" s="20" t="s">
        <v>675</v>
      </c>
      <c r="H452" s="9">
        <v>85000</v>
      </c>
      <c r="I452" s="9">
        <v>0</v>
      </c>
      <c r="J452" s="21"/>
    </row>
    <row r="453" spans="1:10" ht="21" x14ac:dyDescent="0.3">
      <c r="A453" s="6" t="s">
        <v>472</v>
      </c>
      <c r="B453" s="6" t="s">
        <v>740</v>
      </c>
      <c r="C453" s="6" t="s">
        <v>761</v>
      </c>
      <c r="D453" s="7">
        <v>46156</v>
      </c>
      <c r="E453" s="8" t="s">
        <v>591</v>
      </c>
      <c r="F453" s="8" t="s">
        <v>414</v>
      </c>
      <c r="G453" s="20" t="s">
        <v>656</v>
      </c>
      <c r="H453" s="9">
        <v>9950</v>
      </c>
      <c r="I453" s="9">
        <v>0</v>
      </c>
      <c r="J453" s="21"/>
    </row>
    <row r="454" spans="1:10" ht="21" x14ac:dyDescent="0.3">
      <c r="A454" s="6" t="s">
        <v>472</v>
      </c>
      <c r="B454" s="6" t="s">
        <v>740</v>
      </c>
      <c r="C454" s="6" t="s">
        <v>761</v>
      </c>
      <c r="D454" s="7">
        <v>46156</v>
      </c>
      <c r="E454" s="8" t="s">
        <v>591</v>
      </c>
      <c r="F454" s="8" t="s">
        <v>652</v>
      </c>
      <c r="G454" s="20" t="s">
        <v>657</v>
      </c>
      <c r="H454" s="9">
        <v>510</v>
      </c>
      <c r="I454" s="9">
        <v>0</v>
      </c>
      <c r="J454" s="21"/>
    </row>
    <row r="455" spans="1:10" ht="21" x14ac:dyDescent="0.3">
      <c r="A455" s="6" t="s">
        <v>472</v>
      </c>
      <c r="B455" s="6" t="s">
        <v>740</v>
      </c>
      <c r="C455" s="6" t="s">
        <v>761</v>
      </c>
      <c r="D455" s="7">
        <v>46156</v>
      </c>
      <c r="E455" s="8" t="s">
        <v>591</v>
      </c>
      <c r="F455" s="8" t="s">
        <v>446</v>
      </c>
      <c r="G455" s="20" t="s">
        <v>658</v>
      </c>
      <c r="H455" s="9">
        <v>1230</v>
      </c>
      <c r="I455" s="9">
        <v>0</v>
      </c>
      <c r="J455" s="21"/>
    </row>
    <row r="456" spans="1:10" ht="42" x14ac:dyDescent="0.3">
      <c r="A456" s="6" t="s">
        <v>472</v>
      </c>
      <c r="B456" s="6" t="s">
        <v>740</v>
      </c>
      <c r="C456" s="6" t="s">
        <v>761</v>
      </c>
      <c r="D456" s="7">
        <v>46156</v>
      </c>
      <c r="E456" s="8" t="s">
        <v>591</v>
      </c>
      <c r="F456" s="8" t="s">
        <v>464</v>
      </c>
      <c r="G456" s="20" t="s">
        <v>684</v>
      </c>
      <c r="H456" s="9">
        <v>1900</v>
      </c>
      <c r="I456" s="9">
        <v>0</v>
      </c>
      <c r="J456" s="21"/>
    </row>
    <row r="457" spans="1:10" ht="21" x14ac:dyDescent="0.3">
      <c r="A457" s="6" t="s">
        <v>472</v>
      </c>
      <c r="B457" s="6" t="s">
        <v>740</v>
      </c>
      <c r="C457" s="6" t="s">
        <v>761</v>
      </c>
      <c r="D457" s="7">
        <v>46156</v>
      </c>
      <c r="E457" s="8" t="s">
        <v>591</v>
      </c>
      <c r="F457" s="8" t="s">
        <v>582</v>
      </c>
      <c r="G457" s="20" t="s">
        <v>664</v>
      </c>
      <c r="H457" s="9">
        <v>250</v>
      </c>
      <c r="I457" s="9">
        <v>0</v>
      </c>
      <c r="J457" s="21"/>
    </row>
    <row r="458" spans="1:10" ht="21" x14ac:dyDescent="0.3">
      <c r="A458" s="6" t="s">
        <v>472</v>
      </c>
      <c r="B458" s="6" t="s">
        <v>740</v>
      </c>
      <c r="C458" s="6" t="s">
        <v>761</v>
      </c>
      <c r="D458" s="7">
        <v>46157</v>
      </c>
      <c r="E458" s="8" t="s">
        <v>591</v>
      </c>
      <c r="F458" s="8" t="s">
        <v>464</v>
      </c>
      <c r="G458" s="20" t="s">
        <v>660</v>
      </c>
      <c r="H458" s="9">
        <v>750</v>
      </c>
      <c r="I458" s="9">
        <v>0</v>
      </c>
      <c r="J458" s="21"/>
    </row>
    <row r="459" spans="1:10" ht="21" x14ac:dyDescent="0.3">
      <c r="A459" s="6" t="s">
        <v>472</v>
      </c>
      <c r="B459" s="6" t="s">
        <v>740</v>
      </c>
      <c r="C459" s="6" t="s">
        <v>761</v>
      </c>
      <c r="D459" s="7">
        <v>46157</v>
      </c>
      <c r="E459" s="8" t="s">
        <v>591</v>
      </c>
      <c r="F459" s="8" t="s">
        <v>754</v>
      </c>
      <c r="G459" s="20" t="s">
        <v>661</v>
      </c>
      <c r="H459" s="9">
        <v>7000</v>
      </c>
      <c r="I459" s="9">
        <v>0</v>
      </c>
      <c r="J459" s="21"/>
    </row>
    <row r="460" spans="1:10" ht="42" x14ac:dyDescent="0.3">
      <c r="A460" s="6" t="s">
        <v>472</v>
      </c>
      <c r="B460" s="6" t="s">
        <v>740</v>
      </c>
      <c r="C460" s="6" t="s">
        <v>761</v>
      </c>
      <c r="D460" s="7">
        <v>46157</v>
      </c>
      <c r="E460" s="8" t="s">
        <v>591</v>
      </c>
      <c r="F460" s="8" t="s">
        <v>751</v>
      </c>
      <c r="G460" s="20" t="s">
        <v>672</v>
      </c>
      <c r="H460" s="9">
        <v>1300</v>
      </c>
      <c r="I460" s="9">
        <v>0</v>
      </c>
      <c r="J460" s="21"/>
    </row>
    <row r="461" spans="1:10" ht="21" x14ac:dyDescent="0.3">
      <c r="A461" s="6" t="s">
        <v>472</v>
      </c>
      <c r="B461" s="6" t="s">
        <v>740</v>
      </c>
      <c r="C461" s="6" t="s">
        <v>761</v>
      </c>
      <c r="D461" s="7">
        <v>46157</v>
      </c>
      <c r="E461" s="8" t="s">
        <v>591</v>
      </c>
      <c r="F461" s="8" t="s">
        <v>751</v>
      </c>
      <c r="G461" s="20" t="s">
        <v>685</v>
      </c>
      <c r="H461" s="9">
        <v>250</v>
      </c>
      <c r="I461" s="9">
        <v>0</v>
      </c>
      <c r="J461" s="21"/>
    </row>
    <row r="462" spans="1:10" ht="21" x14ac:dyDescent="0.3">
      <c r="A462" s="6" t="s">
        <v>472</v>
      </c>
      <c r="B462" s="6" t="s">
        <v>740</v>
      </c>
      <c r="C462" s="6" t="s">
        <v>761</v>
      </c>
      <c r="D462" s="7">
        <v>46157</v>
      </c>
      <c r="E462" s="8" t="s">
        <v>591</v>
      </c>
      <c r="F462" s="8" t="s">
        <v>717</v>
      </c>
      <c r="G462" s="20" t="s">
        <v>666</v>
      </c>
      <c r="H462" s="9">
        <v>350</v>
      </c>
      <c r="I462" s="9">
        <v>0</v>
      </c>
      <c r="J462" s="21"/>
    </row>
    <row r="463" spans="1:10" ht="21" x14ac:dyDescent="0.3">
      <c r="A463" s="6" t="s">
        <v>472</v>
      </c>
      <c r="B463" s="6" t="s">
        <v>740</v>
      </c>
      <c r="C463" s="6" t="s">
        <v>761</v>
      </c>
      <c r="D463" s="7">
        <v>46157</v>
      </c>
      <c r="E463" s="8" t="s">
        <v>591</v>
      </c>
      <c r="F463" s="8" t="s">
        <v>438</v>
      </c>
      <c r="G463" s="20" t="s">
        <v>667</v>
      </c>
      <c r="H463" s="9">
        <v>750</v>
      </c>
      <c r="I463" s="9">
        <v>0</v>
      </c>
      <c r="J463" s="21"/>
    </row>
    <row r="464" spans="1:10" ht="21" x14ac:dyDescent="0.3">
      <c r="A464" s="6" t="s">
        <v>472</v>
      </c>
      <c r="B464" s="6" t="s">
        <v>740</v>
      </c>
      <c r="C464" s="6" t="s">
        <v>761</v>
      </c>
      <c r="D464" s="7">
        <v>46157</v>
      </c>
      <c r="E464" s="8" t="s">
        <v>591</v>
      </c>
      <c r="F464" s="8" t="s">
        <v>523</v>
      </c>
      <c r="G464" s="20" t="s">
        <v>662</v>
      </c>
      <c r="H464" s="9">
        <v>600</v>
      </c>
      <c r="I464" s="9">
        <v>0</v>
      </c>
      <c r="J464" s="21"/>
    </row>
    <row r="465" spans="1:10" ht="21" x14ac:dyDescent="0.3">
      <c r="A465" s="6" t="s">
        <v>472</v>
      </c>
      <c r="B465" s="6" t="s">
        <v>740</v>
      </c>
      <c r="C465" s="6" t="s">
        <v>761</v>
      </c>
      <c r="D465" s="7">
        <v>46158</v>
      </c>
      <c r="E465" s="8" t="s">
        <v>591</v>
      </c>
      <c r="F465" s="8" t="s">
        <v>647</v>
      </c>
      <c r="G465" s="20" t="s">
        <v>665</v>
      </c>
      <c r="H465" s="9">
        <v>400</v>
      </c>
      <c r="I465" s="9">
        <v>0</v>
      </c>
      <c r="J465" s="21"/>
    </row>
    <row r="466" spans="1:10" ht="21" x14ac:dyDescent="0.3">
      <c r="A466" s="6" t="s">
        <v>472</v>
      </c>
      <c r="B466" s="6" t="s">
        <v>740</v>
      </c>
      <c r="C466" s="6" t="s">
        <v>761</v>
      </c>
      <c r="D466" s="7">
        <v>46158</v>
      </c>
      <c r="E466" s="8" t="s">
        <v>591</v>
      </c>
      <c r="F466" s="8" t="s">
        <v>752</v>
      </c>
      <c r="G466" s="20" t="s">
        <v>663</v>
      </c>
      <c r="H466" s="9">
        <v>1600</v>
      </c>
      <c r="I466" s="9">
        <v>0</v>
      </c>
      <c r="J466" s="21"/>
    </row>
    <row r="467" spans="1:10" ht="21" x14ac:dyDescent="0.3">
      <c r="A467" s="6" t="s">
        <v>472</v>
      </c>
      <c r="B467" s="6" t="s">
        <v>740</v>
      </c>
      <c r="C467" s="6" t="s">
        <v>761</v>
      </c>
      <c r="D467" s="7">
        <v>46159</v>
      </c>
      <c r="E467" s="8" t="s">
        <v>591</v>
      </c>
      <c r="F467" s="8" t="s">
        <v>582</v>
      </c>
      <c r="G467" s="20" t="s">
        <v>692</v>
      </c>
      <c r="H467" s="9">
        <v>290</v>
      </c>
      <c r="I467" s="9">
        <v>0</v>
      </c>
      <c r="J467" s="21"/>
    </row>
    <row r="468" spans="1:10" ht="21" x14ac:dyDescent="0.3">
      <c r="A468" s="6" t="s">
        <v>472</v>
      </c>
      <c r="B468" s="6" t="s">
        <v>740</v>
      </c>
      <c r="C468" s="6" t="s">
        <v>761</v>
      </c>
      <c r="D468" s="7">
        <v>46159</v>
      </c>
      <c r="E468" s="8" t="s">
        <v>591</v>
      </c>
      <c r="F468" s="8" t="s">
        <v>450</v>
      </c>
      <c r="G468" s="20" t="s">
        <v>693</v>
      </c>
      <c r="H468" s="9">
        <v>200</v>
      </c>
      <c r="I468" s="9">
        <v>0</v>
      </c>
      <c r="J468" s="21"/>
    </row>
    <row r="469" spans="1:10" ht="21" x14ac:dyDescent="0.3">
      <c r="A469" s="6" t="s">
        <v>472</v>
      </c>
      <c r="B469" s="6" t="s">
        <v>740</v>
      </c>
      <c r="C469" s="6" t="s">
        <v>761</v>
      </c>
      <c r="D469" s="7">
        <v>46160</v>
      </c>
      <c r="E469" s="8" t="s">
        <v>591</v>
      </c>
      <c r="F469" s="8" t="s">
        <v>450</v>
      </c>
      <c r="G469" s="20" t="s">
        <v>698</v>
      </c>
      <c r="H469" s="9">
        <v>18900</v>
      </c>
      <c r="I469" s="9">
        <v>0</v>
      </c>
      <c r="J469" s="21"/>
    </row>
    <row r="470" spans="1:10" ht="21" x14ac:dyDescent="0.3">
      <c r="A470" s="6" t="s">
        <v>472</v>
      </c>
      <c r="B470" s="6" t="s">
        <v>740</v>
      </c>
      <c r="C470" s="6" t="s">
        <v>761</v>
      </c>
      <c r="D470" s="7">
        <v>46161</v>
      </c>
      <c r="E470" s="8" t="s">
        <v>591</v>
      </c>
      <c r="F470" s="8" t="s">
        <v>756</v>
      </c>
      <c r="G470" s="20" t="s">
        <v>696</v>
      </c>
      <c r="H470" s="9">
        <v>1000</v>
      </c>
      <c r="I470" s="9">
        <v>0</v>
      </c>
      <c r="J470" s="21"/>
    </row>
    <row r="471" spans="1:10" ht="21" x14ac:dyDescent="0.3">
      <c r="A471" s="6" t="s">
        <v>472</v>
      </c>
      <c r="B471" s="6" t="s">
        <v>740</v>
      </c>
      <c r="C471" s="6" t="s">
        <v>761</v>
      </c>
      <c r="D471" s="7">
        <v>46161</v>
      </c>
      <c r="E471" s="8" t="s">
        <v>591</v>
      </c>
      <c r="F471" s="8" t="s">
        <v>756</v>
      </c>
      <c r="G471" s="20" t="s">
        <v>697</v>
      </c>
      <c r="H471" s="9">
        <v>200</v>
      </c>
      <c r="I471" s="9">
        <v>0</v>
      </c>
      <c r="J471" s="21"/>
    </row>
    <row r="472" spans="1:10" ht="42" x14ac:dyDescent="0.3">
      <c r="A472" s="6" t="s">
        <v>472</v>
      </c>
      <c r="B472" s="6" t="s">
        <v>740</v>
      </c>
      <c r="C472" s="6" t="s">
        <v>761</v>
      </c>
      <c r="D472" s="7">
        <v>46161</v>
      </c>
      <c r="E472" s="8" t="s">
        <v>591</v>
      </c>
      <c r="F472" s="8" t="s">
        <v>754</v>
      </c>
      <c r="G472" s="20" t="s">
        <v>699</v>
      </c>
      <c r="H472" s="9">
        <v>17880</v>
      </c>
      <c r="I472" s="9">
        <v>0</v>
      </c>
      <c r="J472" s="21"/>
    </row>
    <row r="473" spans="1:10" ht="42" x14ac:dyDescent="0.3">
      <c r="A473" s="6" t="s">
        <v>472</v>
      </c>
      <c r="B473" s="6" t="s">
        <v>740</v>
      </c>
      <c r="C473" s="6" t="s">
        <v>761</v>
      </c>
      <c r="D473" s="7">
        <v>46131</v>
      </c>
      <c r="E473" s="8" t="s">
        <v>591</v>
      </c>
      <c r="F473" s="8" t="s">
        <v>752</v>
      </c>
      <c r="G473" s="20" t="s">
        <v>644</v>
      </c>
      <c r="H473" s="9">
        <v>12000</v>
      </c>
      <c r="I473" s="9">
        <v>0</v>
      </c>
      <c r="J473" s="21"/>
    </row>
    <row r="474" spans="1:10" ht="21" x14ac:dyDescent="0.3">
      <c r="A474" s="6" t="s">
        <v>472</v>
      </c>
      <c r="B474" s="6" t="s">
        <v>740</v>
      </c>
      <c r="C474" s="6" t="s">
        <v>761</v>
      </c>
      <c r="D474" s="7">
        <v>46163</v>
      </c>
      <c r="E474" s="8" t="s">
        <v>591</v>
      </c>
      <c r="F474" s="8" t="s">
        <v>464</v>
      </c>
      <c r="G474" s="20" t="s">
        <v>702</v>
      </c>
      <c r="H474" s="9">
        <v>1200</v>
      </c>
      <c r="I474" s="9">
        <v>0</v>
      </c>
      <c r="J474" s="21"/>
    </row>
    <row r="475" spans="1:10" ht="21" x14ac:dyDescent="0.3">
      <c r="A475" s="6" t="s">
        <v>472</v>
      </c>
      <c r="B475" s="6" t="s">
        <v>740</v>
      </c>
      <c r="C475" s="6" t="s">
        <v>761</v>
      </c>
      <c r="D475" s="7">
        <v>46163</v>
      </c>
      <c r="E475" s="8" t="s">
        <v>591</v>
      </c>
      <c r="F475" s="8" t="s">
        <v>464</v>
      </c>
      <c r="G475" s="20" t="s">
        <v>734</v>
      </c>
      <c r="H475" s="9">
        <v>700</v>
      </c>
      <c r="I475" s="9">
        <v>0</v>
      </c>
      <c r="J475" s="21"/>
    </row>
    <row r="476" spans="1:10" ht="21" x14ac:dyDescent="0.3">
      <c r="A476" s="6" t="s">
        <v>472</v>
      </c>
      <c r="B476" s="6" t="s">
        <v>740</v>
      </c>
      <c r="C476" s="6" t="s">
        <v>761</v>
      </c>
      <c r="D476" s="7">
        <v>46163</v>
      </c>
      <c r="E476" s="8" t="s">
        <v>591</v>
      </c>
      <c r="F476" s="8" t="s">
        <v>653</v>
      </c>
      <c r="G476" s="20" t="s">
        <v>700</v>
      </c>
      <c r="H476" s="9">
        <v>2100</v>
      </c>
      <c r="I476" s="9">
        <v>0</v>
      </c>
      <c r="J476" s="21"/>
    </row>
    <row r="477" spans="1:10" ht="21" x14ac:dyDescent="0.3">
      <c r="A477" s="6" t="s">
        <v>472</v>
      </c>
      <c r="B477" s="6" t="s">
        <v>740</v>
      </c>
      <c r="C477" s="6" t="s">
        <v>761</v>
      </c>
      <c r="D477" s="7">
        <v>46163</v>
      </c>
      <c r="E477" s="8" t="s">
        <v>591</v>
      </c>
      <c r="F477" s="8" t="s">
        <v>653</v>
      </c>
      <c r="G477" s="20" t="s">
        <v>701</v>
      </c>
      <c r="H477" s="9">
        <v>2350</v>
      </c>
      <c r="I477" s="9">
        <v>0</v>
      </c>
      <c r="J477" s="21"/>
    </row>
    <row r="478" spans="1:10" ht="21" x14ac:dyDescent="0.3">
      <c r="A478" s="6" t="s">
        <v>472</v>
      </c>
      <c r="B478" s="6" t="s">
        <v>740</v>
      </c>
      <c r="C478" s="6" t="s">
        <v>761</v>
      </c>
      <c r="D478" s="7">
        <v>46163</v>
      </c>
      <c r="E478" s="8" t="s">
        <v>591</v>
      </c>
      <c r="F478" s="8" t="s">
        <v>754</v>
      </c>
      <c r="G478" s="20" t="s">
        <v>661</v>
      </c>
      <c r="H478" s="9">
        <v>20000</v>
      </c>
      <c r="I478" s="9">
        <v>0</v>
      </c>
      <c r="J478" s="21"/>
    </row>
    <row r="479" spans="1:10" ht="21" x14ac:dyDescent="0.3">
      <c r="A479" s="6" t="s">
        <v>472</v>
      </c>
      <c r="B479" s="6" t="s">
        <v>740</v>
      </c>
      <c r="C479" s="6" t="s">
        <v>761</v>
      </c>
      <c r="D479" s="7">
        <v>46163</v>
      </c>
      <c r="E479" s="8" t="s">
        <v>591</v>
      </c>
      <c r="F479" s="8" t="s">
        <v>195</v>
      </c>
      <c r="G479" s="20" t="s">
        <v>703</v>
      </c>
      <c r="H479" s="9">
        <v>95000</v>
      </c>
      <c r="I479" s="9">
        <v>0</v>
      </c>
      <c r="J479" s="21"/>
    </row>
    <row r="480" spans="1:10" ht="21" x14ac:dyDescent="0.3">
      <c r="A480" s="6" t="s">
        <v>472</v>
      </c>
      <c r="B480" s="6" t="s">
        <v>740</v>
      </c>
      <c r="C480" s="6" t="s">
        <v>761</v>
      </c>
      <c r="D480" s="7">
        <v>46165</v>
      </c>
      <c r="E480" s="8" t="s">
        <v>591</v>
      </c>
      <c r="F480" s="8" t="s">
        <v>450</v>
      </c>
      <c r="G480" s="20" t="s">
        <v>704</v>
      </c>
      <c r="H480" s="9">
        <v>1500</v>
      </c>
      <c r="I480" s="9">
        <v>0</v>
      </c>
      <c r="J480" s="21"/>
    </row>
    <row r="481" spans="1:10" ht="21" x14ac:dyDescent="0.3">
      <c r="A481" s="6" t="s">
        <v>472</v>
      </c>
      <c r="B481" s="6" t="s">
        <v>740</v>
      </c>
      <c r="C481" s="6" t="s">
        <v>761</v>
      </c>
      <c r="D481" s="7">
        <v>46165</v>
      </c>
      <c r="E481" s="8" t="s">
        <v>591</v>
      </c>
      <c r="F481" s="8" t="s">
        <v>450</v>
      </c>
      <c r="G481" s="20" t="s">
        <v>705</v>
      </c>
      <c r="H481" s="9">
        <v>150</v>
      </c>
      <c r="I481" s="9">
        <v>0</v>
      </c>
      <c r="J481" s="21"/>
    </row>
    <row r="482" spans="1:10" ht="42" x14ac:dyDescent="0.3">
      <c r="A482" s="6" t="s">
        <v>472</v>
      </c>
      <c r="B482" s="6" t="s">
        <v>740</v>
      </c>
      <c r="C482" s="6" t="s">
        <v>761</v>
      </c>
      <c r="D482" s="7">
        <v>46165</v>
      </c>
      <c r="E482" s="8" t="s">
        <v>591</v>
      </c>
      <c r="F482" s="8" t="s">
        <v>464</v>
      </c>
      <c r="G482" s="20" t="s">
        <v>719</v>
      </c>
      <c r="H482" s="9">
        <v>1800</v>
      </c>
      <c r="I482" s="9">
        <v>0</v>
      </c>
      <c r="J482" s="21"/>
    </row>
    <row r="483" spans="1:10" ht="21" x14ac:dyDescent="0.3">
      <c r="A483" s="6" t="s">
        <v>472</v>
      </c>
      <c r="B483" s="6" t="s">
        <v>740</v>
      </c>
      <c r="C483" s="6" t="s">
        <v>761</v>
      </c>
      <c r="D483" s="7">
        <v>46165</v>
      </c>
      <c r="E483" s="8" t="s">
        <v>591</v>
      </c>
      <c r="F483" s="8" t="s">
        <v>25</v>
      </c>
      <c r="G483" s="20" t="s">
        <v>720</v>
      </c>
      <c r="H483" s="9">
        <v>200</v>
      </c>
      <c r="I483" s="9">
        <v>0</v>
      </c>
      <c r="J483" s="21"/>
    </row>
    <row r="484" spans="1:10" ht="21" x14ac:dyDescent="0.3">
      <c r="A484" s="6" t="s">
        <v>472</v>
      </c>
      <c r="B484" s="6" t="s">
        <v>740</v>
      </c>
      <c r="C484" s="6" t="s">
        <v>761</v>
      </c>
      <c r="D484" s="7">
        <v>46165</v>
      </c>
      <c r="E484" s="8" t="s">
        <v>591</v>
      </c>
      <c r="F484" s="8" t="s">
        <v>727</v>
      </c>
      <c r="G484" s="20" t="s">
        <v>721</v>
      </c>
      <c r="H484" s="9">
        <v>2000</v>
      </c>
      <c r="I484" s="9">
        <v>0</v>
      </c>
      <c r="J484" s="21"/>
    </row>
    <row r="485" spans="1:10" ht="21" x14ac:dyDescent="0.3">
      <c r="A485" s="6" t="s">
        <v>472</v>
      </c>
      <c r="B485" s="6" t="s">
        <v>740</v>
      </c>
      <c r="C485" s="6" t="s">
        <v>761</v>
      </c>
      <c r="D485" s="7">
        <v>46165</v>
      </c>
      <c r="E485" s="8" t="s">
        <v>591</v>
      </c>
      <c r="F485" s="8" t="s">
        <v>450</v>
      </c>
      <c r="G485" s="20" t="s">
        <v>722</v>
      </c>
      <c r="H485" s="9">
        <v>5000</v>
      </c>
      <c r="I485" s="9">
        <v>0</v>
      </c>
      <c r="J485" s="21"/>
    </row>
    <row r="486" spans="1:10" ht="21" x14ac:dyDescent="0.3">
      <c r="A486" s="6" t="s">
        <v>472</v>
      </c>
      <c r="B486" s="6" t="s">
        <v>740</v>
      </c>
      <c r="C486" s="6" t="s">
        <v>761</v>
      </c>
      <c r="D486" s="7">
        <v>46167</v>
      </c>
      <c r="E486" s="8" t="s">
        <v>591</v>
      </c>
      <c r="F486" s="8" t="s">
        <v>727</v>
      </c>
      <c r="G486" s="20" t="s">
        <v>728</v>
      </c>
      <c r="H486" s="9">
        <v>1200</v>
      </c>
      <c r="I486" s="9">
        <v>0</v>
      </c>
      <c r="J486" s="21"/>
    </row>
    <row r="487" spans="1:10" ht="21" x14ac:dyDescent="0.3">
      <c r="A487" s="6" t="s">
        <v>472</v>
      </c>
      <c r="B487" s="6" t="s">
        <v>740</v>
      </c>
      <c r="C487" s="6" t="s">
        <v>761</v>
      </c>
      <c r="D487" s="7">
        <v>46167</v>
      </c>
      <c r="E487" s="8" t="s">
        <v>591</v>
      </c>
      <c r="F487" s="8" t="s">
        <v>754</v>
      </c>
      <c r="G487" s="20" t="s">
        <v>723</v>
      </c>
      <c r="H487" s="9">
        <v>8000</v>
      </c>
      <c r="I487" s="9">
        <v>0</v>
      </c>
      <c r="J487" s="21"/>
    </row>
    <row r="488" spans="1:10" ht="21" x14ac:dyDescent="0.3">
      <c r="A488" s="6" t="s">
        <v>472</v>
      </c>
      <c r="B488" s="6" t="s">
        <v>740</v>
      </c>
      <c r="C488" s="6" t="s">
        <v>761</v>
      </c>
      <c r="D488" s="7">
        <v>46167</v>
      </c>
      <c r="E488" s="8" t="s">
        <v>591</v>
      </c>
      <c r="F488" s="8" t="s">
        <v>725</v>
      </c>
      <c r="G488" s="20" t="s">
        <v>724</v>
      </c>
      <c r="H488" s="9">
        <v>3000</v>
      </c>
      <c r="I488" s="9">
        <v>0</v>
      </c>
      <c r="J488" s="21"/>
    </row>
    <row r="489" spans="1:10" ht="21" x14ac:dyDescent="0.3">
      <c r="A489" s="6" t="s">
        <v>472</v>
      </c>
      <c r="B489" s="6" t="s">
        <v>740</v>
      </c>
      <c r="C489" s="6" t="s">
        <v>761</v>
      </c>
      <c r="D489" s="7">
        <v>46167</v>
      </c>
      <c r="E489" s="8" t="s">
        <v>591</v>
      </c>
      <c r="F489" s="8" t="s">
        <v>464</v>
      </c>
      <c r="G489" s="20" t="s">
        <v>733</v>
      </c>
      <c r="H489" s="9">
        <v>700</v>
      </c>
      <c r="I489" s="9">
        <v>0</v>
      </c>
      <c r="J489" s="21"/>
    </row>
    <row r="490" spans="1:10" ht="21" x14ac:dyDescent="0.3">
      <c r="A490" s="6" t="s">
        <v>472</v>
      </c>
      <c r="B490" s="6" t="s">
        <v>740</v>
      </c>
      <c r="C490" s="6" t="s">
        <v>761</v>
      </c>
      <c r="D490" s="7">
        <v>46167</v>
      </c>
      <c r="E490" s="8" t="s">
        <v>591</v>
      </c>
      <c r="F490" s="8" t="s">
        <v>653</v>
      </c>
      <c r="G490" s="20" t="s">
        <v>726</v>
      </c>
      <c r="H490" s="9">
        <v>2000</v>
      </c>
      <c r="I490" s="9">
        <v>0</v>
      </c>
      <c r="J490" s="21"/>
    </row>
    <row r="491" spans="1:10" ht="21" x14ac:dyDescent="0.3">
      <c r="A491" s="6" t="s">
        <v>472</v>
      </c>
      <c r="B491" s="6" t="s">
        <v>740</v>
      </c>
      <c r="C491" s="6" t="s">
        <v>762</v>
      </c>
      <c r="D491" s="7">
        <v>46066</v>
      </c>
      <c r="E491" s="8" t="s">
        <v>469</v>
      </c>
      <c r="F491" s="8" t="s">
        <v>469</v>
      </c>
      <c r="G491" s="20" t="s">
        <v>557</v>
      </c>
      <c r="H491" s="9">
        <f>10%*SUM(H46:H490)</f>
        <v>665306.5</v>
      </c>
      <c r="I491" s="9">
        <v>0</v>
      </c>
      <c r="J491" s="21"/>
    </row>
    <row r="492" spans="1:10" ht="21" x14ac:dyDescent="0.3">
      <c r="A492" s="6" t="s">
        <v>472</v>
      </c>
      <c r="B492" s="6" t="s">
        <v>740</v>
      </c>
      <c r="C492" s="6" t="s">
        <v>761</v>
      </c>
      <c r="D492" s="7">
        <v>45778</v>
      </c>
      <c r="E492" s="8" t="s">
        <v>251</v>
      </c>
      <c r="F492" s="8" t="s">
        <v>727</v>
      </c>
      <c r="G492" s="20" t="s">
        <v>22</v>
      </c>
      <c r="H492" s="9">
        <v>24150</v>
      </c>
      <c r="I492" s="9">
        <v>0</v>
      </c>
      <c r="J492" s="21"/>
    </row>
    <row r="493" spans="1:10" ht="42" x14ac:dyDescent="0.3">
      <c r="A493" s="6" t="s">
        <v>472</v>
      </c>
      <c r="B493" s="6" t="s">
        <v>740</v>
      </c>
      <c r="C493" s="6" t="s">
        <v>761</v>
      </c>
      <c r="D493" s="7">
        <v>45778</v>
      </c>
      <c r="E493" s="8" t="s">
        <v>251</v>
      </c>
      <c r="F493" s="8" t="s">
        <v>727</v>
      </c>
      <c r="G493" s="20" t="s">
        <v>23</v>
      </c>
      <c r="H493" s="9">
        <v>49900</v>
      </c>
      <c r="I493" s="9">
        <v>0</v>
      </c>
      <c r="J493" s="21"/>
    </row>
    <row r="494" spans="1:10" ht="21" x14ac:dyDescent="0.3">
      <c r="A494" s="6" t="s">
        <v>472</v>
      </c>
      <c r="B494" s="6" t="s">
        <v>740</v>
      </c>
      <c r="C494" s="6" t="s">
        <v>761</v>
      </c>
      <c r="D494" s="7">
        <v>45778</v>
      </c>
      <c r="E494" s="8" t="s">
        <v>251</v>
      </c>
      <c r="F494" s="8" t="s">
        <v>727</v>
      </c>
      <c r="G494" s="20" t="s">
        <v>24</v>
      </c>
      <c r="H494" s="9">
        <v>100</v>
      </c>
      <c r="I494" s="9">
        <v>0</v>
      </c>
      <c r="J494" s="21"/>
    </row>
    <row r="495" spans="1:10" ht="21" x14ac:dyDescent="0.3">
      <c r="A495" s="6" t="s">
        <v>472</v>
      </c>
      <c r="B495" s="6" t="s">
        <v>740</v>
      </c>
      <c r="C495" s="6" t="s">
        <v>761</v>
      </c>
      <c r="D495" s="7">
        <v>45778</v>
      </c>
      <c r="E495" s="8" t="s">
        <v>251</v>
      </c>
      <c r="F495" s="8" t="s">
        <v>727</v>
      </c>
      <c r="G495" s="20" t="s">
        <v>28</v>
      </c>
      <c r="H495" s="9">
        <v>350</v>
      </c>
      <c r="I495" s="9">
        <v>0</v>
      </c>
      <c r="J495" s="21"/>
    </row>
    <row r="496" spans="1:10" ht="21" x14ac:dyDescent="0.3">
      <c r="A496" s="6" t="s">
        <v>472</v>
      </c>
      <c r="B496" s="6" t="s">
        <v>740</v>
      </c>
      <c r="C496" s="6" t="s">
        <v>761</v>
      </c>
      <c r="D496" s="7">
        <v>45778</v>
      </c>
      <c r="E496" s="8" t="s">
        <v>251</v>
      </c>
      <c r="F496" s="8" t="s">
        <v>727</v>
      </c>
      <c r="G496" s="20" t="s">
        <v>29</v>
      </c>
      <c r="H496" s="9">
        <v>750</v>
      </c>
      <c r="I496" s="9">
        <v>0</v>
      </c>
      <c r="J496" s="21"/>
    </row>
    <row r="497" spans="1:10" ht="21" x14ac:dyDescent="0.3">
      <c r="A497" s="6" t="s">
        <v>472</v>
      </c>
      <c r="B497" s="6" t="s">
        <v>740</v>
      </c>
      <c r="C497" s="6" t="s">
        <v>761</v>
      </c>
      <c r="D497" s="7">
        <v>45778</v>
      </c>
      <c r="E497" s="8" t="s">
        <v>251</v>
      </c>
      <c r="F497" s="8" t="s">
        <v>727</v>
      </c>
      <c r="G497" s="20" t="s">
        <v>22</v>
      </c>
      <c r="H497" s="9">
        <v>24150</v>
      </c>
      <c r="I497" s="9">
        <v>0</v>
      </c>
      <c r="J497" s="21"/>
    </row>
    <row r="498" spans="1:10" ht="42" x14ac:dyDescent="0.3">
      <c r="A498" s="6" t="s">
        <v>472</v>
      </c>
      <c r="B498" s="6" t="s">
        <v>740</v>
      </c>
      <c r="C498" s="6" t="s">
        <v>761</v>
      </c>
      <c r="D498" s="7">
        <v>45778</v>
      </c>
      <c r="E498" s="8" t="s">
        <v>251</v>
      </c>
      <c r="F498" s="8" t="s">
        <v>727</v>
      </c>
      <c r="G498" s="20" t="s">
        <v>23</v>
      </c>
      <c r="H498" s="9">
        <v>49900</v>
      </c>
      <c r="I498" s="9">
        <v>0</v>
      </c>
      <c r="J498" s="21"/>
    </row>
    <row r="499" spans="1:10" ht="21" x14ac:dyDescent="0.3">
      <c r="A499" s="6" t="s">
        <v>472</v>
      </c>
      <c r="B499" s="6" t="s">
        <v>740</v>
      </c>
      <c r="C499" s="6" t="s">
        <v>761</v>
      </c>
      <c r="D499" s="7">
        <v>45778</v>
      </c>
      <c r="E499" s="8" t="s">
        <v>251</v>
      </c>
      <c r="F499" s="8" t="s">
        <v>727</v>
      </c>
      <c r="G499" s="20" t="s">
        <v>24</v>
      </c>
      <c r="H499" s="9">
        <v>100</v>
      </c>
      <c r="I499" s="9">
        <v>0</v>
      </c>
      <c r="J499" s="21"/>
    </row>
    <row r="500" spans="1:10" ht="21" x14ac:dyDescent="0.3">
      <c r="A500" s="6" t="s">
        <v>472</v>
      </c>
      <c r="B500" s="6" t="s">
        <v>740</v>
      </c>
      <c r="C500" s="6" t="s">
        <v>761</v>
      </c>
      <c r="D500" s="7">
        <v>45778</v>
      </c>
      <c r="E500" s="8" t="s">
        <v>251</v>
      </c>
      <c r="F500" s="8" t="s">
        <v>727</v>
      </c>
      <c r="G500" s="20" t="s">
        <v>26</v>
      </c>
      <c r="H500" s="9">
        <v>9500</v>
      </c>
      <c r="I500" s="9">
        <v>0</v>
      </c>
      <c r="J500" s="21"/>
    </row>
    <row r="501" spans="1:10" ht="21" x14ac:dyDescent="0.3">
      <c r="A501" s="6" t="s">
        <v>472</v>
      </c>
      <c r="B501" s="6" t="s">
        <v>740</v>
      </c>
      <c r="C501" s="6" t="s">
        <v>761</v>
      </c>
      <c r="D501" s="7">
        <v>45778</v>
      </c>
      <c r="E501" s="8" t="s">
        <v>251</v>
      </c>
      <c r="F501" s="8" t="s">
        <v>727</v>
      </c>
      <c r="G501" s="20" t="s">
        <v>28</v>
      </c>
      <c r="H501" s="9">
        <v>350</v>
      </c>
      <c r="I501" s="9">
        <v>0</v>
      </c>
      <c r="J501" s="21"/>
    </row>
    <row r="502" spans="1:10" ht="21" x14ac:dyDescent="0.3">
      <c r="A502" s="6" t="s">
        <v>472</v>
      </c>
      <c r="B502" s="6" t="s">
        <v>740</v>
      </c>
      <c r="C502" s="6" t="s">
        <v>761</v>
      </c>
      <c r="D502" s="7">
        <v>45778</v>
      </c>
      <c r="E502" s="8" t="s">
        <v>251</v>
      </c>
      <c r="F502" s="8" t="s">
        <v>727</v>
      </c>
      <c r="G502" s="20" t="s">
        <v>29</v>
      </c>
      <c r="H502" s="9">
        <v>750</v>
      </c>
      <c r="I502" s="9">
        <v>0</v>
      </c>
      <c r="J502" s="21"/>
    </row>
    <row r="503" spans="1:10" ht="21" x14ac:dyDescent="0.3">
      <c r="A503" s="6" t="s">
        <v>472</v>
      </c>
      <c r="B503" s="6" t="s">
        <v>740</v>
      </c>
      <c r="C503" s="6" t="s">
        <v>761</v>
      </c>
      <c r="D503" s="7">
        <v>45890</v>
      </c>
      <c r="E503" s="8" t="s">
        <v>251</v>
      </c>
      <c r="F503" s="8" t="s">
        <v>757</v>
      </c>
      <c r="G503" s="20" t="s">
        <v>252</v>
      </c>
      <c r="H503" s="9">
        <v>10000</v>
      </c>
      <c r="I503" s="9">
        <v>0</v>
      </c>
      <c r="J503" s="21"/>
    </row>
    <row r="504" spans="1:10" ht="42" x14ac:dyDescent="0.3">
      <c r="A504" s="6" t="s">
        <v>472</v>
      </c>
      <c r="B504" s="6" t="s">
        <v>740</v>
      </c>
      <c r="C504" s="6" t="s">
        <v>761</v>
      </c>
      <c r="D504" s="7">
        <v>45890</v>
      </c>
      <c r="E504" s="8" t="s">
        <v>251</v>
      </c>
      <c r="F504" s="8" t="s">
        <v>727</v>
      </c>
      <c r="G504" s="20" t="s">
        <v>253</v>
      </c>
      <c r="H504" s="9">
        <v>1700</v>
      </c>
      <c r="I504" s="9">
        <v>0</v>
      </c>
      <c r="J504" s="21"/>
    </row>
    <row r="505" spans="1:10" ht="21" x14ac:dyDescent="0.3">
      <c r="A505" s="6" t="s">
        <v>472</v>
      </c>
      <c r="B505" s="6" t="s">
        <v>740</v>
      </c>
      <c r="C505" s="6" t="s">
        <v>761</v>
      </c>
      <c r="D505" s="7">
        <v>45890</v>
      </c>
      <c r="E505" s="8" t="s">
        <v>251</v>
      </c>
      <c r="F505" s="8" t="s">
        <v>727</v>
      </c>
      <c r="G505" s="20" t="s">
        <v>254</v>
      </c>
      <c r="H505" s="9">
        <v>950</v>
      </c>
      <c r="I505" s="9">
        <v>0</v>
      </c>
      <c r="J505" s="21"/>
    </row>
    <row r="506" spans="1:10" ht="21" x14ac:dyDescent="0.3">
      <c r="A506" s="6" t="s">
        <v>472</v>
      </c>
      <c r="B506" s="6" t="s">
        <v>740</v>
      </c>
      <c r="C506" s="6" t="s">
        <v>761</v>
      </c>
      <c r="D506" s="7">
        <v>45890</v>
      </c>
      <c r="E506" s="8" t="s">
        <v>251</v>
      </c>
      <c r="F506" s="8" t="s">
        <v>727</v>
      </c>
      <c r="G506" s="20" t="s">
        <v>255</v>
      </c>
      <c r="H506" s="9">
        <v>23400</v>
      </c>
      <c r="I506" s="9">
        <v>0</v>
      </c>
      <c r="J506" s="21"/>
    </row>
    <row r="507" spans="1:10" ht="42" x14ac:dyDescent="0.3">
      <c r="A507" s="6" t="s">
        <v>472</v>
      </c>
      <c r="B507" s="6" t="s">
        <v>740</v>
      </c>
      <c r="C507" s="6" t="s">
        <v>761</v>
      </c>
      <c r="D507" s="7">
        <v>45890</v>
      </c>
      <c r="E507" s="8" t="s">
        <v>251</v>
      </c>
      <c r="F507" s="8" t="s">
        <v>727</v>
      </c>
      <c r="G507" s="20" t="s">
        <v>256</v>
      </c>
      <c r="H507" s="9">
        <v>11600</v>
      </c>
      <c r="I507" s="9">
        <v>0</v>
      </c>
      <c r="J507" s="21"/>
    </row>
    <row r="508" spans="1:10" ht="42" x14ac:dyDescent="0.3">
      <c r="A508" s="6" t="s">
        <v>472</v>
      </c>
      <c r="B508" s="6" t="s">
        <v>740</v>
      </c>
      <c r="C508" s="6" t="s">
        <v>761</v>
      </c>
      <c r="D508" s="7">
        <v>45890</v>
      </c>
      <c r="E508" s="8" t="s">
        <v>251</v>
      </c>
      <c r="F508" s="8" t="s">
        <v>727</v>
      </c>
      <c r="G508" s="20" t="s">
        <v>257</v>
      </c>
      <c r="H508" s="9">
        <v>18550</v>
      </c>
      <c r="I508" s="9">
        <v>0</v>
      </c>
      <c r="J508" s="21"/>
    </row>
    <row r="509" spans="1:10" ht="21" x14ac:dyDescent="0.3">
      <c r="A509" s="6" t="s">
        <v>472</v>
      </c>
      <c r="B509" s="6" t="s">
        <v>740</v>
      </c>
      <c r="C509" s="6" t="s">
        <v>761</v>
      </c>
      <c r="D509" s="7">
        <v>45890</v>
      </c>
      <c r="E509" s="8" t="s">
        <v>251</v>
      </c>
      <c r="F509" s="8" t="s">
        <v>727</v>
      </c>
      <c r="G509" s="20" t="s">
        <v>258</v>
      </c>
      <c r="H509" s="9">
        <v>500</v>
      </c>
      <c r="I509" s="9">
        <v>0</v>
      </c>
      <c r="J509" s="21"/>
    </row>
    <row r="510" spans="1:10" ht="42" x14ac:dyDescent="0.3">
      <c r="A510" s="6" t="s">
        <v>472</v>
      </c>
      <c r="B510" s="6" t="s">
        <v>740</v>
      </c>
      <c r="C510" s="6" t="s">
        <v>761</v>
      </c>
      <c r="D510" s="7">
        <v>45890</v>
      </c>
      <c r="E510" s="8" t="s">
        <v>251</v>
      </c>
      <c r="F510" s="8" t="s">
        <v>757</v>
      </c>
      <c r="G510" s="20" t="s">
        <v>259</v>
      </c>
      <c r="H510" s="9">
        <v>331500</v>
      </c>
      <c r="I510" s="9">
        <v>0</v>
      </c>
      <c r="J510" s="21"/>
    </row>
    <row r="511" spans="1:10" ht="21" x14ac:dyDescent="0.3">
      <c r="A511" s="6" t="s">
        <v>472</v>
      </c>
      <c r="B511" s="6" t="s">
        <v>740</v>
      </c>
      <c r="C511" s="6" t="s">
        <v>761</v>
      </c>
      <c r="D511" s="7">
        <v>45778</v>
      </c>
      <c r="E511" s="8" t="s">
        <v>251</v>
      </c>
      <c r="F511" s="8" t="s">
        <v>757</v>
      </c>
      <c r="G511" s="20" t="s">
        <v>27</v>
      </c>
      <c r="H511" s="9">
        <v>20000</v>
      </c>
      <c r="I511" s="9">
        <v>0</v>
      </c>
      <c r="J511" s="21"/>
    </row>
    <row r="512" spans="1:10" ht="21" x14ac:dyDescent="0.3">
      <c r="A512" s="6" t="s">
        <v>472</v>
      </c>
      <c r="B512" s="6" t="s">
        <v>740</v>
      </c>
      <c r="C512" s="6" t="s">
        <v>761</v>
      </c>
      <c r="D512" s="7">
        <v>45786</v>
      </c>
      <c r="E512" s="8" t="s">
        <v>251</v>
      </c>
      <c r="F512" s="8" t="s">
        <v>757</v>
      </c>
      <c r="G512" s="20" t="s">
        <v>32</v>
      </c>
      <c r="H512" s="9">
        <v>3600</v>
      </c>
      <c r="I512" s="9">
        <v>0</v>
      </c>
      <c r="J512" s="21"/>
    </row>
    <row r="513" spans="1:10" ht="21" x14ac:dyDescent="0.3">
      <c r="A513" s="6" t="s">
        <v>472</v>
      </c>
      <c r="B513" s="6" t="s">
        <v>740</v>
      </c>
      <c r="C513" s="6" t="s">
        <v>761</v>
      </c>
      <c r="D513" s="7">
        <v>45786</v>
      </c>
      <c r="E513" s="8" t="s">
        <v>251</v>
      </c>
      <c r="F513" s="8" t="s">
        <v>757</v>
      </c>
      <c r="G513" s="20" t="s">
        <v>34</v>
      </c>
      <c r="H513" s="9">
        <v>3500</v>
      </c>
      <c r="I513" s="9">
        <v>0</v>
      </c>
      <c r="J513" s="21"/>
    </row>
    <row r="514" spans="1:10" ht="21" x14ac:dyDescent="0.3">
      <c r="A514" s="6" t="s">
        <v>472</v>
      </c>
      <c r="B514" s="6" t="s">
        <v>740</v>
      </c>
      <c r="C514" s="6" t="s">
        <v>761</v>
      </c>
      <c r="D514" s="7">
        <v>45786</v>
      </c>
      <c r="E514" s="8" t="s">
        <v>251</v>
      </c>
      <c r="F514" s="8" t="s">
        <v>757</v>
      </c>
      <c r="G514" s="20" t="s">
        <v>35</v>
      </c>
      <c r="H514" s="9">
        <v>10000</v>
      </c>
      <c r="I514" s="9">
        <v>0</v>
      </c>
      <c r="J514" s="21"/>
    </row>
    <row r="515" spans="1:10" ht="42" x14ac:dyDescent="0.3">
      <c r="A515" s="6" t="s">
        <v>472</v>
      </c>
      <c r="B515" s="6" t="s">
        <v>740</v>
      </c>
      <c r="C515" s="6" t="s">
        <v>761</v>
      </c>
      <c r="D515" s="7">
        <v>45890</v>
      </c>
      <c r="E515" s="8" t="s">
        <v>251</v>
      </c>
      <c r="F515" s="8" t="s">
        <v>757</v>
      </c>
      <c r="G515" s="20" t="s">
        <v>260</v>
      </c>
      <c r="H515" s="9">
        <v>15000</v>
      </c>
      <c r="I515" s="9">
        <v>0</v>
      </c>
      <c r="J515" s="21"/>
    </row>
    <row r="516" spans="1:10" ht="21" x14ac:dyDescent="0.3">
      <c r="A516" s="6" t="s">
        <v>472</v>
      </c>
      <c r="B516" s="6" t="s">
        <v>740</v>
      </c>
      <c r="C516" s="6" t="s">
        <v>761</v>
      </c>
      <c r="D516" s="7">
        <v>45897</v>
      </c>
      <c r="E516" s="8" t="s">
        <v>251</v>
      </c>
      <c r="F516" s="8" t="s">
        <v>727</v>
      </c>
      <c r="G516" s="20" t="s">
        <v>261</v>
      </c>
      <c r="H516" s="9">
        <v>950</v>
      </c>
      <c r="I516" s="9">
        <v>0</v>
      </c>
      <c r="J516" s="21"/>
    </row>
    <row r="517" spans="1:10" ht="21" x14ac:dyDescent="0.3">
      <c r="A517" s="6" t="s">
        <v>472</v>
      </c>
      <c r="B517" s="6" t="s">
        <v>740</v>
      </c>
      <c r="C517" s="6" t="s">
        <v>761</v>
      </c>
      <c r="D517" s="7">
        <v>45897</v>
      </c>
      <c r="E517" s="8" t="s">
        <v>251</v>
      </c>
      <c r="F517" s="8" t="s">
        <v>727</v>
      </c>
      <c r="G517" s="20" t="s">
        <v>262</v>
      </c>
      <c r="H517" s="9">
        <v>1100</v>
      </c>
      <c r="I517" s="9">
        <v>0</v>
      </c>
      <c r="J517" s="21"/>
    </row>
    <row r="518" spans="1:10" ht="42" x14ac:dyDescent="0.3">
      <c r="A518" s="6" t="s">
        <v>472</v>
      </c>
      <c r="B518" s="6" t="s">
        <v>740</v>
      </c>
      <c r="C518" s="6" t="s">
        <v>761</v>
      </c>
      <c r="D518" s="7">
        <v>45897</v>
      </c>
      <c r="E518" s="8" t="s">
        <v>251</v>
      </c>
      <c r="F518" s="8" t="s">
        <v>757</v>
      </c>
      <c r="G518" s="20" t="s">
        <v>263</v>
      </c>
      <c r="H518" s="9">
        <v>41550</v>
      </c>
      <c r="I518" s="9">
        <v>0</v>
      </c>
      <c r="J518" s="21"/>
    </row>
    <row r="519" spans="1:10" ht="21" x14ac:dyDescent="0.3">
      <c r="A519" s="6" t="s">
        <v>472</v>
      </c>
      <c r="B519" s="6" t="s">
        <v>740</v>
      </c>
      <c r="C519" s="6" t="s">
        <v>761</v>
      </c>
      <c r="D519" s="7">
        <v>45897</v>
      </c>
      <c r="E519" s="8" t="s">
        <v>251</v>
      </c>
      <c r="F519" s="8" t="s">
        <v>727</v>
      </c>
      <c r="G519" s="20" t="s">
        <v>264</v>
      </c>
      <c r="H519" s="9">
        <v>2400</v>
      </c>
      <c r="I519" s="9">
        <v>0</v>
      </c>
      <c r="J519" s="21"/>
    </row>
    <row r="520" spans="1:10" ht="21" x14ac:dyDescent="0.3">
      <c r="A520" s="6" t="s">
        <v>472</v>
      </c>
      <c r="B520" s="6" t="s">
        <v>740</v>
      </c>
      <c r="C520" s="6" t="s">
        <v>761</v>
      </c>
      <c r="D520" s="7">
        <v>45897</v>
      </c>
      <c r="E520" s="8" t="s">
        <v>251</v>
      </c>
      <c r="F520" s="8" t="s">
        <v>727</v>
      </c>
      <c r="G520" s="20" t="s">
        <v>265</v>
      </c>
      <c r="H520" s="9">
        <v>600</v>
      </c>
      <c r="I520" s="9">
        <v>0</v>
      </c>
      <c r="J520" s="21"/>
    </row>
    <row r="521" spans="1:10" ht="21" x14ac:dyDescent="0.3">
      <c r="A521" s="6" t="s">
        <v>472</v>
      </c>
      <c r="B521" s="6" t="s">
        <v>740</v>
      </c>
      <c r="C521" s="6" t="s">
        <v>761</v>
      </c>
      <c r="D521" s="7">
        <v>45897</v>
      </c>
      <c r="E521" s="8" t="s">
        <v>251</v>
      </c>
      <c r="F521" s="8" t="s">
        <v>727</v>
      </c>
      <c r="G521" s="20" t="s">
        <v>266</v>
      </c>
      <c r="H521" s="9">
        <v>500</v>
      </c>
      <c r="I521" s="9">
        <v>0</v>
      </c>
      <c r="J521" s="21"/>
    </row>
    <row r="522" spans="1:10" ht="21" x14ac:dyDescent="0.3">
      <c r="A522" s="6" t="s">
        <v>472</v>
      </c>
      <c r="B522" s="6" t="s">
        <v>740</v>
      </c>
      <c r="C522" s="6" t="s">
        <v>761</v>
      </c>
      <c r="D522" s="7">
        <v>45897</v>
      </c>
      <c r="E522" s="8" t="s">
        <v>251</v>
      </c>
      <c r="F522" s="8" t="s">
        <v>727</v>
      </c>
      <c r="G522" s="20" t="s">
        <v>267</v>
      </c>
      <c r="H522" s="9">
        <v>400</v>
      </c>
      <c r="I522" s="9">
        <v>0</v>
      </c>
      <c r="J522" s="21"/>
    </row>
    <row r="523" spans="1:10" ht="21" x14ac:dyDescent="0.3">
      <c r="A523" s="6" t="s">
        <v>472</v>
      </c>
      <c r="B523" s="6" t="s">
        <v>740</v>
      </c>
      <c r="C523" s="6" t="s">
        <v>761</v>
      </c>
      <c r="D523" s="7">
        <v>45897</v>
      </c>
      <c r="E523" s="8" t="s">
        <v>251</v>
      </c>
      <c r="F523" s="8" t="s">
        <v>727</v>
      </c>
      <c r="G523" s="20" t="s">
        <v>268</v>
      </c>
      <c r="H523" s="9">
        <v>350</v>
      </c>
      <c r="I523" s="9">
        <v>0</v>
      </c>
      <c r="J523" s="21"/>
    </row>
    <row r="524" spans="1:10" ht="21" x14ac:dyDescent="0.3">
      <c r="A524" s="6" t="s">
        <v>472</v>
      </c>
      <c r="B524" s="6" t="s">
        <v>740</v>
      </c>
      <c r="C524" s="6" t="s">
        <v>761</v>
      </c>
      <c r="D524" s="7">
        <v>45897</v>
      </c>
      <c r="E524" s="8" t="s">
        <v>251</v>
      </c>
      <c r="F524" s="8" t="s">
        <v>727</v>
      </c>
      <c r="G524" s="20" t="s">
        <v>269</v>
      </c>
      <c r="H524" s="9">
        <v>150</v>
      </c>
      <c r="I524" s="9">
        <v>0</v>
      </c>
      <c r="J524" s="21"/>
    </row>
    <row r="525" spans="1:10" ht="21" x14ac:dyDescent="0.3">
      <c r="A525" s="6" t="s">
        <v>472</v>
      </c>
      <c r="B525" s="6" t="s">
        <v>740</v>
      </c>
      <c r="C525" s="6" t="s">
        <v>761</v>
      </c>
      <c r="D525" s="7">
        <v>45897</v>
      </c>
      <c r="E525" s="8" t="s">
        <v>251</v>
      </c>
      <c r="F525" s="8" t="s">
        <v>727</v>
      </c>
      <c r="G525" s="20" t="s">
        <v>270</v>
      </c>
      <c r="H525" s="9">
        <v>500</v>
      </c>
      <c r="I525" s="9">
        <v>0</v>
      </c>
      <c r="J525" s="21"/>
    </row>
    <row r="526" spans="1:10" ht="21" x14ac:dyDescent="0.3">
      <c r="A526" s="6" t="s">
        <v>472</v>
      </c>
      <c r="B526" s="6" t="s">
        <v>740</v>
      </c>
      <c r="C526" s="6" t="s">
        <v>761</v>
      </c>
      <c r="D526" s="7">
        <v>45897</v>
      </c>
      <c r="E526" s="8" t="s">
        <v>251</v>
      </c>
      <c r="F526" s="8" t="s">
        <v>727</v>
      </c>
      <c r="G526" s="20" t="s">
        <v>271</v>
      </c>
      <c r="H526" s="9">
        <v>200</v>
      </c>
      <c r="I526" s="9">
        <v>0</v>
      </c>
      <c r="J526" s="21"/>
    </row>
    <row r="527" spans="1:10" ht="21" x14ac:dyDescent="0.3">
      <c r="A527" s="6" t="s">
        <v>472</v>
      </c>
      <c r="B527" s="6" t="s">
        <v>740</v>
      </c>
      <c r="C527" s="6" t="s">
        <v>761</v>
      </c>
      <c r="D527" s="7">
        <v>45897</v>
      </c>
      <c r="E527" s="8" t="s">
        <v>251</v>
      </c>
      <c r="F527" s="8" t="s">
        <v>727</v>
      </c>
      <c r="G527" s="20" t="s">
        <v>272</v>
      </c>
      <c r="H527" s="9">
        <v>77700</v>
      </c>
      <c r="I527" s="9">
        <v>0</v>
      </c>
      <c r="J527" s="21"/>
    </row>
    <row r="528" spans="1:10" ht="21" x14ac:dyDescent="0.3">
      <c r="A528" s="6" t="s">
        <v>472</v>
      </c>
      <c r="B528" s="6" t="s">
        <v>740</v>
      </c>
      <c r="C528" s="6" t="s">
        <v>761</v>
      </c>
      <c r="D528" s="7">
        <v>45897</v>
      </c>
      <c r="E528" s="8" t="s">
        <v>251</v>
      </c>
      <c r="F528" s="8" t="s">
        <v>385</v>
      </c>
      <c r="G528" s="20" t="s">
        <v>273</v>
      </c>
      <c r="H528" s="9">
        <v>26550</v>
      </c>
      <c r="I528" s="9">
        <v>0</v>
      </c>
      <c r="J528" s="21"/>
    </row>
    <row r="529" spans="1:10" ht="21" x14ac:dyDescent="0.3">
      <c r="A529" s="6" t="s">
        <v>472</v>
      </c>
      <c r="B529" s="6" t="s">
        <v>740</v>
      </c>
      <c r="C529" s="6" t="s">
        <v>761</v>
      </c>
      <c r="D529" s="7">
        <v>45902</v>
      </c>
      <c r="E529" s="8" t="s">
        <v>251</v>
      </c>
      <c r="F529" s="8" t="s">
        <v>727</v>
      </c>
      <c r="G529" s="20" t="s">
        <v>274</v>
      </c>
      <c r="H529" s="9">
        <v>6500</v>
      </c>
      <c r="I529" s="9">
        <v>0</v>
      </c>
      <c r="J529" s="21"/>
    </row>
    <row r="530" spans="1:10" ht="21" x14ac:dyDescent="0.3">
      <c r="A530" s="6" t="s">
        <v>472</v>
      </c>
      <c r="B530" s="6" t="s">
        <v>740</v>
      </c>
      <c r="C530" s="6" t="s">
        <v>761</v>
      </c>
      <c r="D530" s="7">
        <v>45902</v>
      </c>
      <c r="E530" s="8" t="s">
        <v>251</v>
      </c>
      <c r="F530" s="8" t="s">
        <v>727</v>
      </c>
      <c r="G530" s="20" t="s">
        <v>275</v>
      </c>
      <c r="H530" s="9">
        <v>500</v>
      </c>
      <c r="I530" s="9">
        <v>0</v>
      </c>
      <c r="J530" s="21"/>
    </row>
    <row r="531" spans="1:10" ht="21" x14ac:dyDescent="0.3">
      <c r="A531" s="6" t="s">
        <v>472</v>
      </c>
      <c r="B531" s="6" t="s">
        <v>740</v>
      </c>
      <c r="C531" s="6" t="s">
        <v>761</v>
      </c>
      <c r="D531" s="7">
        <v>45911</v>
      </c>
      <c r="E531" s="8" t="s">
        <v>251</v>
      </c>
      <c r="F531" s="8" t="s">
        <v>727</v>
      </c>
      <c r="G531" s="20" t="s">
        <v>276</v>
      </c>
      <c r="H531" s="9">
        <v>950</v>
      </c>
      <c r="I531" s="9">
        <v>0</v>
      </c>
      <c r="J531" s="21"/>
    </row>
    <row r="532" spans="1:10" ht="21" x14ac:dyDescent="0.3">
      <c r="A532" s="6" t="s">
        <v>472</v>
      </c>
      <c r="B532" s="6" t="s">
        <v>740</v>
      </c>
      <c r="C532" s="6" t="s">
        <v>761</v>
      </c>
      <c r="D532" s="7">
        <v>45911</v>
      </c>
      <c r="E532" s="8" t="s">
        <v>251</v>
      </c>
      <c r="F532" s="8" t="s">
        <v>727</v>
      </c>
      <c r="G532" s="20" t="s">
        <v>277</v>
      </c>
      <c r="H532" s="9">
        <v>30000</v>
      </c>
      <c r="I532" s="9">
        <v>0</v>
      </c>
      <c r="J532" s="21"/>
    </row>
    <row r="533" spans="1:10" ht="21" x14ac:dyDescent="0.3">
      <c r="A533" s="6" t="s">
        <v>472</v>
      </c>
      <c r="B533" s="6" t="s">
        <v>740</v>
      </c>
      <c r="C533" s="6" t="s">
        <v>761</v>
      </c>
      <c r="D533" s="7">
        <v>45911</v>
      </c>
      <c r="E533" s="8" t="s">
        <v>251</v>
      </c>
      <c r="F533" s="8" t="s">
        <v>727</v>
      </c>
      <c r="G533" s="20" t="s">
        <v>278</v>
      </c>
      <c r="H533" s="9">
        <v>22500</v>
      </c>
      <c r="I533" s="9">
        <v>0</v>
      </c>
      <c r="J533" s="21"/>
    </row>
    <row r="534" spans="1:10" ht="21" x14ac:dyDescent="0.3">
      <c r="A534" s="6" t="s">
        <v>472</v>
      </c>
      <c r="B534" s="6" t="s">
        <v>740</v>
      </c>
      <c r="C534" s="6" t="s">
        <v>761</v>
      </c>
      <c r="D534" s="7">
        <v>45911</v>
      </c>
      <c r="E534" s="8" t="s">
        <v>251</v>
      </c>
      <c r="F534" s="8" t="s">
        <v>727</v>
      </c>
      <c r="G534" s="20" t="s">
        <v>279</v>
      </c>
      <c r="H534" s="9">
        <v>6500</v>
      </c>
      <c r="I534" s="9">
        <v>0</v>
      </c>
      <c r="J534" s="21"/>
    </row>
    <row r="535" spans="1:10" ht="21" x14ac:dyDescent="0.3">
      <c r="A535" s="6" t="s">
        <v>472</v>
      </c>
      <c r="B535" s="6" t="s">
        <v>740</v>
      </c>
      <c r="C535" s="6" t="s">
        <v>761</v>
      </c>
      <c r="D535" s="7">
        <v>45911</v>
      </c>
      <c r="E535" s="8" t="s">
        <v>251</v>
      </c>
      <c r="F535" s="8" t="s">
        <v>727</v>
      </c>
      <c r="G535" s="20" t="s">
        <v>280</v>
      </c>
      <c r="H535" s="9">
        <v>4200</v>
      </c>
      <c r="I535" s="9">
        <v>0</v>
      </c>
      <c r="J535" s="21"/>
    </row>
    <row r="536" spans="1:10" ht="21" x14ac:dyDescent="0.3">
      <c r="A536" s="6" t="s">
        <v>472</v>
      </c>
      <c r="B536" s="6" t="s">
        <v>740</v>
      </c>
      <c r="C536" s="6" t="s">
        <v>761</v>
      </c>
      <c r="D536" s="7">
        <v>45911</v>
      </c>
      <c r="E536" s="8" t="s">
        <v>251</v>
      </c>
      <c r="F536" s="8" t="s">
        <v>727</v>
      </c>
      <c r="G536" s="20" t="s">
        <v>281</v>
      </c>
      <c r="H536" s="9">
        <v>450</v>
      </c>
      <c r="I536" s="9">
        <v>0</v>
      </c>
      <c r="J536" s="21"/>
    </row>
    <row r="537" spans="1:10" ht="21" x14ac:dyDescent="0.3">
      <c r="A537" s="6" t="s">
        <v>472</v>
      </c>
      <c r="B537" s="6" t="s">
        <v>740</v>
      </c>
      <c r="C537" s="6" t="s">
        <v>761</v>
      </c>
      <c r="D537" s="7">
        <v>45918</v>
      </c>
      <c r="E537" s="8" t="s">
        <v>251</v>
      </c>
      <c r="F537" s="8" t="s">
        <v>727</v>
      </c>
      <c r="G537" s="20" t="s">
        <v>282</v>
      </c>
      <c r="H537" s="9">
        <v>900</v>
      </c>
      <c r="I537" s="9">
        <v>0</v>
      </c>
      <c r="J537" s="21"/>
    </row>
    <row r="538" spans="1:10" ht="21" x14ac:dyDescent="0.3">
      <c r="A538" s="6" t="s">
        <v>472</v>
      </c>
      <c r="B538" s="6" t="s">
        <v>740</v>
      </c>
      <c r="C538" s="6" t="s">
        <v>761</v>
      </c>
      <c r="D538" s="7">
        <v>45918</v>
      </c>
      <c r="E538" s="8" t="s">
        <v>251</v>
      </c>
      <c r="F538" s="8" t="s">
        <v>727</v>
      </c>
      <c r="G538" s="20" t="s">
        <v>283</v>
      </c>
      <c r="H538" s="9">
        <v>300</v>
      </c>
      <c r="I538" s="9">
        <v>0</v>
      </c>
      <c r="J538" s="21"/>
    </row>
    <row r="539" spans="1:10" ht="42" x14ac:dyDescent="0.3">
      <c r="A539" s="6" t="s">
        <v>472</v>
      </c>
      <c r="B539" s="6" t="s">
        <v>740</v>
      </c>
      <c r="C539" s="6" t="s">
        <v>761</v>
      </c>
      <c r="D539" s="7">
        <v>45918</v>
      </c>
      <c r="E539" s="8" t="s">
        <v>251</v>
      </c>
      <c r="F539" s="8" t="s">
        <v>727</v>
      </c>
      <c r="G539" s="20" t="s">
        <v>284</v>
      </c>
      <c r="H539" s="9">
        <v>200</v>
      </c>
      <c r="I539" s="9">
        <v>0</v>
      </c>
      <c r="J539" s="21"/>
    </row>
    <row r="540" spans="1:10" ht="21" x14ac:dyDescent="0.3">
      <c r="A540" s="6" t="s">
        <v>472</v>
      </c>
      <c r="B540" s="6" t="s">
        <v>740</v>
      </c>
      <c r="C540" s="6" t="s">
        <v>761</v>
      </c>
      <c r="D540" s="7">
        <v>45918</v>
      </c>
      <c r="E540" s="8" t="s">
        <v>251</v>
      </c>
      <c r="F540" s="8" t="s">
        <v>727</v>
      </c>
      <c r="G540" s="20" t="s">
        <v>285</v>
      </c>
      <c r="H540" s="9">
        <v>1100</v>
      </c>
      <c r="I540" s="9">
        <v>0</v>
      </c>
      <c r="J540" s="21"/>
    </row>
    <row r="541" spans="1:10" ht="21" x14ac:dyDescent="0.3">
      <c r="A541" s="6" t="s">
        <v>472</v>
      </c>
      <c r="B541" s="6" t="s">
        <v>740</v>
      </c>
      <c r="C541" s="6" t="s">
        <v>761</v>
      </c>
      <c r="D541" s="7">
        <v>45918</v>
      </c>
      <c r="E541" s="8" t="s">
        <v>251</v>
      </c>
      <c r="F541" s="8" t="s">
        <v>727</v>
      </c>
      <c r="G541" s="20" t="s">
        <v>286</v>
      </c>
      <c r="H541" s="9">
        <v>200</v>
      </c>
      <c r="I541" s="9">
        <v>0</v>
      </c>
      <c r="J541" s="21"/>
    </row>
    <row r="542" spans="1:10" ht="42" x14ac:dyDescent="0.3">
      <c r="A542" s="6" t="s">
        <v>472</v>
      </c>
      <c r="B542" s="6" t="s">
        <v>740</v>
      </c>
      <c r="C542" s="6" t="s">
        <v>761</v>
      </c>
      <c r="D542" s="7">
        <v>45918</v>
      </c>
      <c r="E542" s="8" t="s">
        <v>251</v>
      </c>
      <c r="F542" s="8" t="s">
        <v>757</v>
      </c>
      <c r="G542" s="20" t="s">
        <v>287</v>
      </c>
      <c r="H542" s="9">
        <v>38900</v>
      </c>
      <c r="I542" s="9">
        <v>0</v>
      </c>
      <c r="J542" s="21"/>
    </row>
    <row r="543" spans="1:10" ht="21" x14ac:dyDescent="0.3">
      <c r="A543" s="6" t="s">
        <v>472</v>
      </c>
      <c r="B543" s="6" t="s">
        <v>740</v>
      </c>
      <c r="C543" s="6" t="s">
        <v>761</v>
      </c>
      <c r="D543" s="7">
        <v>45918</v>
      </c>
      <c r="E543" s="8" t="s">
        <v>251</v>
      </c>
      <c r="F543" s="8" t="s">
        <v>727</v>
      </c>
      <c r="G543" s="20" t="s">
        <v>288</v>
      </c>
      <c r="H543" s="9">
        <v>2400</v>
      </c>
      <c r="I543" s="9">
        <v>0</v>
      </c>
      <c r="J543" s="21"/>
    </row>
    <row r="544" spans="1:10" ht="21" x14ac:dyDescent="0.3">
      <c r="A544" s="6" t="s">
        <v>472</v>
      </c>
      <c r="B544" s="6" t="s">
        <v>740</v>
      </c>
      <c r="C544" s="6" t="s">
        <v>761</v>
      </c>
      <c r="D544" s="7">
        <v>45918</v>
      </c>
      <c r="E544" s="8" t="s">
        <v>251</v>
      </c>
      <c r="F544" s="8" t="s">
        <v>727</v>
      </c>
      <c r="G544" s="20" t="s">
        <v>289</v>
      </c>
      <c r="H544" s="9">
        <v>1000</v>
      </c>
      <c r="I544" s="9">
        <v>0</v>
      </c>
      <c r="J544" s="21"/>
    </row>
    <row r="545" spans="1:10" ht="21" x14ac:dyDescent="0.3">
      <c r="A545" s="6" t="s">
        <v>472</v>
      </c>
      <c r="B545" s="6" t="s">
        <v>740</v>
      </c>
      <c r="C545" s="6" t="s">
        <v>761</v>
      </c>
      <c r="D545" s="7">
        <v>45918</v>
      </c>
      <c r="E545" s="8" t="s">
        <v>251</v>
      </c>
      <c r="F545" s="8" t="s">
        <v>727</v>
      </c>
      <c r="G545" s="20" t="s">
        <v>290</v>
      </c>
      <c r="H545" s="9">
        <v>350</v>
      </c>
      <c r="I545" s="9">
        <v>0</v>
      </c>
      <c r="J545" s="21"/>
    </row>
    <row r="546" spans="1:10" ht="21" x14ac:dyDescent="0.3">
      <c r="A546" s="6" t="s">
        <v>472</v>
      </c>
      <c r="B546" s="6" t="s">
        <v>740</v>
      </c>
      <c r="C546" s="6" t="s">
        <v>761</v>
      </c>
      <c r="D546" s="7">
        <v>45918</v>
      </c>
      <c r="E546" s="8" t="s">
        <v>251</v>
      </c>
      <c r="F546" s="8" t="s">
        <v>727</v>
      </c>
      <c r="G546" s="20" t="s">
        <v>291</v>
      </c>
      <c r="H546" s="9">
        <v>300</v>
      </c>
      <c r="I546" s="9">
        <v>0</v>
      </c>
      <c r="J546" s="21"/>
    </row>
    <row r="547" spans="1:10" ht="21" x14ac:dyDescent="0.3">
      <c r="A547" s="6" t="s">
        <v>472</v>
      </c>
      <c r="B547" s="6" t="s">
        <v>740</v>
      </c>
      <c r="C547" s="6" t="s">
        <v>761</v>
      </c>
      <c r="D547" s="7">
        <v>45918</v>
      </c>
      <c r="E547" s="8" t="s">
        <v>251</v>
      </c>
      <c r="F547" s="8" t="s">
        <v>727</v>
      </c>
      <c r="G547" s="20" t="s">
        <v>292</v>
      </c>
      <c r="H547" s="9">
        <v>300</v>
      </c>
      <c r="I547" s="9">
        <v>0</v>
      </c>
      <c r="J547" s="21"/>
    </row>
    <row r="548" spans="1:10" ht="21" x14ac:dyDescent="0.3">
      <c r="A548" s="6" t="s">
        <v>472</v>
      </c>
      <c r="B548" s="6" t="s">
        <v>740</v>
      </c>
      <c r="C548" s="6" t="s">
        <v>761</v>
      </c>
      <c r="D548" s="7">
        <v>45918</v>
      </c>
      <c r="E548" s="8" t="s">
        <v>251</v>
      </c>
      <c r="F548" s="8" t="s">
        <v>727</v>
      </c>
      <c r="G548" s="20" t="s">
        <v>293</v>
      </c>
      <c r="H548" s="9">
        <v>500</v>
      </c>
      <c r="I548" s="9">
        <v>0</v>
      </c>
      <c r="J548" s="21"/>
    </row>
    <row r="549" spans="1:10" ht="42" x14ac:dyDescent="0.3">
      <c r="A549" s="6" t="s">
        <v>472</v>
      </c>
      <c r="B549" s="6" t="s">
        <v>740</v>
      </c>
      <c r="C549" s="6" t="s">
        <v>761</v>
      </c>
      <c r="D549" s="7">
        <v>45918</v>
      </c>
      <c r="E549" s="8" t="s">
        <v>251</v>
      </c>
      <c r="F549" s="8" t="s">
        <v>385</v>
      </c>
      <c r="G549" s="20" t="s">
        <v>294</v>
      </c>
      <c r="H549" s="9">
        <v>84450</v>
      </c>
      <c r="I549" s="9">
        <v>0</v>
      </c>
      <c r="J549" s="21"/>
    </row>
    <row r="550" spans="1:10" ht="63" x14ac:dyDescent="0.3">
      <c r="A550" s="6" t="s">
        <v>472</v>
      </c>
      <c r="B550" s="6" t="s">
        <v>740</v>
      </c>
      <c r="C550" s="6" t="s">
        <v>761</v>
      </c>
      <c r="D550" s="7">
        <v>45918</v>
      </c>
      <c r="E550" s="8" t="s">
        <v>251</v>
      </c>
      <c r="F550" s="8" t="s">
        <v>385</v>
      </c>
      <c r="G550" s="20" t="s">
        <v>295</v>
      </c>
      <c r="H550" s="9">
        <v>221500</v>
      </c>
      <c r="I550" s="9">
        <v>0</v>
      </c>
      <c r="J550" s="21"/>
    </row>
    <row r="551" spans="1:10" ht="42" x14ac:dyDescent="0.3">
      <c r="A551" s="6" t="s">
        <v>472</v>
      </c>
      <c r="B551" s="6" t="s">
        <v>740</v>
      </c>
      <c r="C551" s="6" t="s">
        <v>761</v>
      </c>
      <c r="D551" s="7">
        <v>45918</v>
      </c>
      <c r="E551" s="8" t="s">
        <v>251</v>
      </c>
      <c r="F551" s="8" t="s">
        <v>727</v>
      </c>
      <c r="G551" s="20" t="s">
        <v>296</v>
      </c>
      <c r="H551" s="9">
        <v>82550</v>
      </c>
      <c r="I551" s="9">
        <v>0</v>
      </c>
      <c r="J551" s="21"/>
    </row>
    <row r="552" spans="1:10" ht="21" x14ac:dyDescent="0.3">
      <c r="A552" s="6" t="s">
        <v>472</v>
      </c>
      <c r="B552" s="6" t="s">
        <v>740</v>
      </c>
      <c r="C552" s="6" t="s">
        <v>761</v>
      </c>
      <c r="D552" s="7">
        <v>45918</v>
      </c>
      <c r="E552" s="8" t="s">
        <v>251</v>
      </c>
      <c r="F552" s="8" t="s">
        <v>727</v>
      </c>
      <c r="G552" s="20" t="s">
        <v>297</v>
      </c>
      <c r="H552" s="9">
        <v>18550</v>
      </c>
      <c r="I552" s="9">
        <v>0</v>
      </c>
      <c r="J552" s="21"/>
    </row>
    <row r="553" spans="1:10" ht="21" x14ac:dyDescent="0.3">
      <c r="A553" s="6" t="s">
        <v>472</v>
      </c>
      <c r="B553" s="6" t="s">
        <v>740</v>
      </c>
      <c r="C553" s="6" t="s">
        <v>761</v>
      </c>
      <c r="D553" s="7">
        <v>45918</v>
      </c>
      <c r="E553" s="8" t="s">
        <v>251</v>
      </c>
      <c r="F553" s="8" t="s">
        <v>727</v>
      </c>
      <c r="G553" s="20" t="s">
        <v>298</v>
      </c>
      <c r="H553" s="9">
        <v>12200</v>
      </c>
      <c r="I553" s="9">
        <v>0</v>
      </c>
      <c r="J553" s="21"/>
    </row>
    <row r="554" spans="1:10" ht="21" x14ac:dyDescent="0.3">
      <c r="A554" s="6" t="s">
        <v>472</v>
      </c>
      <c r="B554" s="6" t="s">
        <v>740</v>
      </c>
      <c r="C554" s="6" t="s">
        <v>761</v>
      </c>
      <c r="D554" s="7">
        <v>45918</v>
      </c>
      <c r="E554" s="8" t="s">
        <v>251</v>
      </c>
      <c r="F554" s="8" t="s">
        <v>727</v>
      </c>
      <c r="G554" s="20" t="s">
        <v>299</v>
      </c>
      <c r="H554" s="9">
        <v>450</v>
      </c>
      <c r="I554" s="9">
        <v>0</v>
      </c>
      <c r="J554" s="21"/>
    </row>
    <row r="555" spans="1:10" ht="42" x14ac:dyDescent="0.3">
      <c r="A555" s="6" t="s">
        <v>472</v>
      </c>
      <c r="B555" s="6" t="s">
        <v>740</v>
      </c>
      <c r="C555" s="6" t="s">
        <v>761</v>
      </c>
      <c r="D555" s="7">
        <v>45952</v>
      </c>
      <c r="E555" s="8" t="s">
        <v>251</v>
      </c>
      <c r="F555" s="8" t="s">
        <v>727</v>
      </c>
      <c r="G555" s="20" t="s">
        <v>300</v>
      </c>
      <c r="H555" s="9">
        <v>5000</v>
      </c>
      <c r="I555" s="9">
        <v>0</v>
      </c>
      <c r="J555" s="21"/>
    </row>
    <row r="556" spans="1:10" ht="21" x14ac:dyDescent="0.3">
      <c r="A556" s="6" t="s">
        <v>472</v>
      </c>
      <c r="B556" s="6" t="s">
        <v>740</v>
      </c>
      <c r="C556" s="6" t="s">
        <v>761</v>
      </c>
      <c r="D556" s="7">
        <v>45952</v>
      </c>
      <c r="E556" s="8" t="s">
        <v>251</v>
      </c>
      <c r="F556" s="8" t="s">
        <v>727</v>
      </c>
      <c r="G556" s="20" t="s">
        <v>301</v>
      </c>
      <c r="H556" s="9">
        <v>700</v>
      </c>
      <c r="I556" s="9">
        <v>0</v>
      </c>
      <c r="J556" s="21"/>
    </row>
    <row r="557" spans="1:10" ht="42" x14ac:dyDescent="0.3">
      <c r="A557" s="6" t="s">
        <v>472</v>
      </c>
      <c r="B557" s="6" t="s">
        <v>740</v>
      </c>
      <c r="C557" s="6" t="s">
        <v>761</v>
      </c>
      <c r="D557" s="7">
        <v>45966</v>
      </c>
      <c r="E557" s="8" t="s">
        <v>251</v>
      </c>
      <c r="F557" s="8" t="s">
        <v>727</v>
      </c>
      <c r="G557" s="20" t="s">
        <v>302</v>
      </c>
      <c r="H557" s="9">
        <v>1050</v>
      </c>
      <c r="I557" s="9">
        <v>0</v>
      </c>
      <c r="J557" s="21"/>
    </row>
    <row r="558" spans="1:10" ht="21" x14ac:dyDescent="0.3">
      <c r="A558" s="6" t="s">
        <v>472</v>
      </c>
      <c r="B558" s="6" t="s">
        <v>740</v>
      </c>
      <c r="C558" s="6" t="s">
        <v>761</v>
      </c>
      <c r="D558" s="7">
        <v>45966</v>
      </c>
      <c r="E558" s="8" t="s">
        <v>251</v>
      </c>
      <c r="F558" s="8" t="s">
        <v>727</v>
      </c>
      <c r="G558" s="20" t="s">
        <v>303</v>
      </c>
      <c r="H558" s="9">
        <v>200</v>
      </c>
      <c r="I558" s="9">
        <v>0</v>
      </c>
      <c r="J558" s="21"/>
    </row>
    <row r="559" spans="1:10" ht="21" x14ac:dyDescent="0.3">
      <c r="A559" s="6" t="s">
        <v>472</v>
      </c>
      <c r="B559" s="6" t="s">
        <v>740</v>
      </c>
      <c r="C559" s="6" t="s">
        <v>761</v>
      </c>
      <c r="D559" s="7">
        <v>45966</v>
      </c>
      <c r="E559" s="8" t="s">
        <v>251</v>
      </c>
      <c r="F559" s="8" t="s">
        <v>727</v>
      </c>
      <c r="G559" s="20" t="s">
        <v>304</v>
      </c>
      <c r="H559" s="9">
        <v>100</v>
      </c>
      <c r="I559" s="9">
        <v>0</v>
      </c>
      <c r="J559" s="21"/>
    </row>
    <row r="560" spans="1:10" ht="42" x14ac:dyDescent="0.3">
      <c r="A560" s="6" t="s">
        <v>472</v>
      </c>
      <c r="B560" s="6" t="s">
        <v>740</v>
      </c>
      <c r="C560" s="6" t="s">
        <v>761</v>
      </c>
      <c r="D560" s="7">
        <v>45966</v>
      </c>
      <c r="E560" s="8" t="s">
        <v>251</v>
      </c>
      <c r="F560" s="8" t="s">
        <v>727</v>
      </c>
      <c r="G560" s="20" t="s">
        <v>305</v>
      </c>
      <c r="H560" s="9">
        <v>30000</v>
      </c>
      <c r="I560" s="9">
        <v>0</v>
      </c>
      <c r="J560" s="21"/>
    </row>
    <row r="561" spans="1:10" ht="21" x14ac:dyDescent="0.3">
      <c r="A561" s="6" t="s">
        <v>472</v>
      </c>
      <c r="B561" s="6" t="s">
        <v>740</v>
      </c>
      <c r="C561" s="6" t="s">
        <v>761</v>
      </c>
      <c r="D561" s="7">
        <v>45966</v>
      </c>
      <c r="E561" s="8" t="s">
        <v>251</v>
      </c>
      <c r="F561" s="8" t="s">
        <v>727</v>
      </c>
      <c r="G561" s="20" t="s">
        <v>306</v>
      </c>
      <c r="H561" s="9">
        <v>450</v>
      </c>
      <c r="I561" s="9">
        <v>0</v>
      </c>
      <c r="J561" s="21"/>
    </row>
    <row r="562" spans="1:10" ht="42" x14ac:dyDescent="0.3">
      <c r="A562" s="6" t="s">
        <v>472</v>
      </c>
      <c r="B562" s="6" t="s">
        <v>740</v>
      </c>
      <c r="C562" s="6" t="s">
        <v>761</v>
      </c>
      <c r="D562" s="7">
        <v>45966</v>
      </c>
      <c r="E562" s="8" t="s">
        <v>251</v>
      </c>
      <c r="F562" s="8" t="s">
        <v>727</v>
      </c>
      <c r="G562" s="20" t="s">
        <v>307</v>
      </c>
      <c r="H562" s="9">
        <v>5200</v>
      </c>
      <c r="I562" s="9">
        <v>0</v>
      </c>
      <c r="J562" s="21"/>
    </row>
    <row r="563" spans="1:10" ht="42" x14ac:dyDescent="0.3">
      <c r="A563" s="6" t="s">
        <v>472</v>
      </c>
      <c r="B563" s="6" t="s">
        <v>740</v>
      </c>
      <c r="C563" s="6" t="s">
        <v>761</v>
      </c>
      <c r="D563" s="7">
        <v>45966</v>
      </c>
      <c r="E563" s="8" t="s">
        <v>251</v>
      </c>
      <c r="F563" s="8" t="s">
        <v>727</v>
      </c>
      <c r="G563" s="20" t="s">
        <v>308</v>
      </c>
      <c r="H563" s="9">
        <v>500</v>
      </c>
      <c r="I563" s="9">
        <v>0</v>
      </c>
      <c r="J563" s="21"/>
    </row>
    <row r="564" spans="1:10" ht="42" x14ac:dyDescent="0.3">
      <c r="A564" s="6" t="s">
        <v>472</v>
      </c>
      <c r="B564" s="6" t="s">
        <v>740</v>
      </c>
      <c r="C564" s="6" t="s">
        <v>761</v>
      </c>
      <c r="D564" s="7">
        <v>45966</v>
      </c>
      <c r="E564" s="8" t="s">
        <v>251</v>
      </c>
      <c r="F564" s="8" t="s">
        <v>727</v>
      </c>
      <c r="G564" s="20" t="s">
        <v>309</v>
      </c>
      <c r="H564" s="9">
        <v>44200</v>
      </c>
      <c r="I564" s="9">
        <v>0</v>
      </c>
      <c r="J564" s="21"/>
    </row>
    <row r="565" spans="1:10" ht="21" x14ac:dyDescent="0.3">
      <c r="A565" s="6" t="s">
        <v>472</v>
      </c>
      <c r="B565" s="6" t="s">
        <v>740</v>
      </c>
      <c r="C565" s="6" t="s">
        <v>761</v>
      </c>
      <c r="D565" s="7">
        <v>45966</v>
      </c>
      <c r="E565" s="8" t="s">
        <v>251</v>
      </c>
      <c r="F565" s="8" t="s">
        <v>727</v>
      </c>
      <c r="G565" s="20" t="s">
        <v>310</v>
      </c>
      <c r="H565" s="9">
        <v>16875</v>
      </c>
      <c r="I565" s="9">
        <v>0</v>
      </c>
      <c r="J565" s="21"/>
    </row>
    <row r="566" spans="1:10" ht="42" x14ac:dyDescent="0.3">
      <c r="A566" s="6" t="s">
        <v>472</v>
      </c>
      <c r="B566" s="6" t="s">
        <v>740</v>
      </c>
      <c r="C566" s="6" t="s">
        <v>761</v>
      </c>
      <c r="D566" s="7">
        <v>45966</v>
      </c>
      <c r="E566" s="8" t="s">
        <v>251</v>
      </c>
      <c r="F566" s="8" t="s">
        <v>727</v>
      </c>
      <c r="G566" s="20" t="s">
        <v>311</v>
      </c>
      <c r="H566" s="9">
        <v>12955</v>
      </c>
      <c r="I566" s="9">
        <v>0</v>
      </c>
      <c r="J566" s="21"/>
    </row>
    <row r="567" spans="1:10" ht="21" x14ac:dyDescent="0.3">
      <c r="A567" s="6" t="s">
        <v>472</v>
      </c>
      <c r="B567" s="6" t="s">
        <v>740</v>
      </c>
      <c r="C567" s="6" t="s">
        <v>761</v>
      </c>
      <c r="D567" s="7">
        <v>45966</v>
      </c>
      <c r="E567" s="8" t="s">
        <v>251</v>
      </c>
      <c r="F567" s="8" t="s">
        <v>727</v>
      </c>
      <c r="G567" s="20" t="s">
        <v>312</v>
      </c>
      <c r="H567" s="9">
        <v>4400</v>
      </c>
      <c r="I567" s="9">
        <v>0</v>
      </c>
      <c r="J567" s="21"/>
    </row>
    <row r="568" spans="1:10" ht="21" x14ac:dyDescent="0.3">
      <c r="A568" s="6" t="s">
        <v>472</v>
      </c>
      <c r="B568" s="6" t="s">
        <v>740</v>
      </c>
      <c r="C568" s="6" t="s">
        <v>761</v>
      </c>
      <c r="D568" s="7">
        <v>45966</v>
      </c>
      <c r="E568" s="8" t="s">
        <v>251</v>
      </c>
      <c r="F568" s="8" t="s">
        <v>727</v>
      </c>
      <c r="G568" s="20" t="s">
        <v>313</v>
      </c>
      <c r="H568" s="9">
        <v>17400</v>
      </c>
      <c r="I568" s="9">
        <v>0</v>
      </c>
      <c r="J568" s="21"/>
    </row>
    <row r="569" spans="1:10" ht="21" x14ac:dyDescent="0.3">
      <c r="A569" s="6" t="s">
        <v>472</v>
      </c>
      <c r="B569" s="6" t="s">
        <v>740</v>
      </c>
      <c r="C569" s="6" t="s">
        <v>761</v>
      </c>
      <c r="D569" s="7">
        <v>45966</v>
      </c>
      <c r="E569" s="8" t="s">
        <v>251</v>
      </c>
      <c r="F569" s="8" t="s">
        <v>727</v>
      </c>
      <c r="G569" s="20" t="s">
        <v>314</v>
      </c>
      <c r="H569" s="9">
        <v>3300</v>
      </c>
      <c r="I569" s="9">
        <v>0</v>
      </c>
      <c r="J569" s="21"/>
    </row>
    <row r="570" spans="1:10" ht="42" x14ac:dyDescent="0.3">
      <c r="A570" s="6" t="s">
        <v>472</v>
      </c>
      <c r="B570" s="6" t="s">
        <v>740</v>
      </c>
      <c r="C570" s="6" t="s">
        <v>761</v>
      </c>
      <c r="D570" s="7">
        <v>45966</v>
      </c>
      <c r="E570" s="8" t="s">
        <v>251</v>
      </c>
      <c r="F570" s="8" t="s">
        <v>727</v>
      </c>
      <c r="G570" s="20" t="s">
        <v>315</v>
      </c>
      <c r="H570" s="9">
        <v>4200</v>
      </c>
      <c r="I570" s="9">
        <v>0</v>
      </c>
      <c r="J570" s="21"/>
    </row>
    <row r="571" spans="1:10" ht="21" x14ac:dyDescent="0.3">
      <c r="A571" s="6" t="s">
        <v>472</v>
      </c>
      <c r="B571" s="6" t="s">
        <v>740</v>
      </c>
      <c r="C571" s="6" t="s">
        <v>761</v>
      </c>
      <c r="D571" s="7">
        <v>45966</v>
      </c>
      <c r="E571" s="8" t="s">
        <v>251</v>
      </c>
      <c r="F571" s="8" t="s">
        <v>727</v>
      </c>
      <c r="G571" s="20" t="s">
        <v>316</v>
      </c>
      <c r="H571" s="9">
        <v>100</v>
      </c>
      <c r="I571" s="9">
        <v>0</v>
      </c>
      <c r="J571" s="21"/>
    </row>
    <row r="572" spans="1:10" ht="42" x14ac:dyDescent="0.3">
      <c r="A572" s="6" t="s">
        <v>472</v>
      </c>
      <c r="B572" s="6" t="s">
        <v>740</v>
      </c>
      <c r="C572" s="6" t="s">
        <v>761</v>
      </c>
      <c r="D572" s="7">
        <v>45973</v>
      </c>
      <c r="E572" s="8" t="s">
        <v>251</v>
      </c>
      <c r="F572" s="8" t="s">
        <v>727</v>
      </c>
      <c r="G572" s="20" t="s">
        <v>317</v>
      </c>
      <c r="H572" s="9">
        <v>8000</v>
      </c>
      <c r="I572" s="9">
        <v>0</v>
      </c>
      <c r="J572" s="21"/>
    </row>
    <row r="573" spans="1:10" ht="42" x14ac:dyDescent="0.3">
      <c r="A573" s="6" t="s">
        <v>472</v>
      </c>
      <c r="B573" s="6" t="s">
        <v>740</v>
      </c>
      <c r="C573" s="6" t="s">
        <v>761</v>
      </c>
      <c r="D573" s="7">
        <v>45973</v>
      </c>
      <c r="E573" s="8" t="s">
        <v>251</v>
      </c>
      <c r="F573" s="8" t="s">
        <v>727</v>
      </c>
      <c r="G573" s="20" t="s">
        <v>318</v>
      </c>
      <c r="H573" s="9">
        <v>76100</v>
      </c>
      <c r="I573" s="9">
        <v>0</v>
      </c>
      <c r="J573" s="21"/>
    </row>
    <row r="574" spans="1:10" ht="21" x14ac:dyDescent="0.3">
      <c r="A574" s="6" t="s">
        <v>472</v>
      </c>
      <c r="B574" s="6" t="s">
        <v>740</v>
      </c>
      <c r="C574" s="6" t="s">
        <v>761</v>
      </c>
      <c r="D574" s="7">
        <v>45973</v>
      </c>
      <c r="E574" s="8" t="s">
        <v>251</v>
      </c>
      <c r="F574" s="8" t="s">
        <v>727</v>
      </c>
      <c r="G574" s="20" t="s">
        <v>319</v>
      </c>
      <c r="H574" s="9">
        <v>300</v>
      </c>
      <c r="I574" s="9">
        <v>0</v>
      </c>
      <c r="J574" s="21"/>
    </row>
    <row r="575" spans="1:10" ht="21" x14ac:dyDescent="0.3">
      <c r="A575" s="6" t="s">
        <v>472</v>
      </c>
      <c r="B575" s="6" t="s">
        <v>740</v>
      </c>
      <c r="C575" s="6" t="s">
        <v>761</v>
      </c>
      <c r="D575" s="7">
        <v>45981</v>
      </c>
      <c r="E575" s="8" t="s">
        <v>251</v>
      </c>
      <c r="F575" s="8" t="s">
        <v>727</v>
      </c>
      <c r="G575" s="20" t="s">
        <v>320</v>
      </c>
      <c r="H575" s="9">
        <v>2650</v>
      </c>
      <c r="I575" s="9">
        <v>0</v>
      </c>
      <c r="J575" s="21"/>
    </row>
    <row r="576" spans="1:10" ht="21" x14ac:dyDescent="0.3">
      <c r="A576" s="6" t="s">
        <v>472</v>
      </c>
      <c r="B576" s="6" t="s">
        <v>740</v>
      </c>
      <c r="C576" s="6" t="s">
        <v>761</v>
      </c>
      <c r="D576" s="7">
        <v>45981</v>
      </c>
      <c r="E576" s="8" t="s">
        <v>251</v>
      </c>
      <c r="F576" s="8" t="s">
        <v>727</v>
      </c>
      <c r="G576" s="20" t="s">
        <v>321</v>
      </c>
      <c r="H576" s="9">
        <v>200</v>
      </c>
      <c r="I576" s="9">
        <v>0</v>
      </c>
      <c r="J576" s="21"/>
    </row>
    <row r="577" spans="1:10" ht="21" x14ac:dyDescent="0.3">
      <c r="A577" s="6" t="s">
        <v>472</v>
      </c>
      <c r="B577" s="6" t="s">
        <v>740</v>
      </c>
      <c r="C577" s="6" t="s">
        <v>761</v>
      </c>
      <c r="D577" s="7">
        <v>45981</v>
      </c>
      <c r="E577" s="8" t="s">
        <v>251</v>
      </c>
      <c r="F577" s="8" t="s">
        <v>727</v>
      </c>
      <c r="G577" s="20" t="s">
        <v>322</v>
      </c>
      <c r="H577" s="9">
        <v>300</v>
      </c>
      <c r="I577" s="9">
        <v>0</v>
      </c>
      <c r="J577" s="21"/>
    </row>
    <row r="578" spans="1:10" ht="21" x14ac:dyDescent="0.3">
      <c r="A578" s="6" t="s">
        <v>472</v>
      </c>
      <c r="B578" s="6" t="s">
        <v>740</v>
      </c>
      <c r="C578" s="6" t="s">
        <v>761</v>
      </c>
      <c r="D578" s="7">
        <v>45981</v>
      </c>
      <c r="E578" s="8" t="s">
        <v>251</v>
      </c>
      <c r="F578" s="8" t="s">
        <v>727</v>
      </c>
      <c r="G578" s="20" t="s">
        <v>323</v>
      </c>
      <c r="H578" s="9">
        <v>4000</v>
      </c>
      <c r="I578" s="9">
        <v>0</v>
      </c>
      <c r="J578" s="21"/>
    </row>
    <row r="579" spans="1:10" ht="42" x14ac:dyDescent="0.3">
      <c r="A579" s="6" t="s">
        <v>472</v>
      </c>
      <c r="B579" s="6" t="s">
        <v>740</v>
      </c>
      <c r="C579" s="6" t="s">
        <v>761</v>
      </c>
      <c r="D579" s="7">
        <v>45981</v>
      </c>
      <c r="E579" s="8" t="s">
        <v>251</v>
      </c>
      <c r="F579" s="8" t="s">
        <v>385</v>
      </c>
      <c r="G579" s="20" t="s">
        <v>324</v>
      </c>
      <c r="H579" s="9">
        <v>21500</v>
      </c>
      <c r="I579" s="9">
        <v>0</v>
      </c>
      <c r="J579" s="21"/>
    </row>
    <row r="580" spans="1:10" ht="42" x14ac:dyDescent="0.3">
      <c r="A580" s="6" t="s">
        <v>472</v>
      </c>
      <c r="B580" s="6" t="s">
        <v>740</v>
      </c>
      <c r="C580" s="6" t="s">
        <v>761</v>
      </c>
      <c r="D580" s="7">
        <v>45981</v>
      </c>
      <c r="E580" s="8" t="s">
        <v>251</v>
      </c>
      <c r="F580" s="8" t="s">
        <v>385</v>
      </c>
      <c r="G580" s="20" t="s">
        <v>325</v>
      </c>
      <c r="H580" s="9">
        <v>13250</v>
      </c>
      <c r="I580" s="9">
        <v>0</v>
      </c>
      <c r="J580" s="21"/>
    </row>
    <row r="581" spans="1:10" ht="42" x14ac:dyDescent="0.3">
      <c r="A581" s="6" t="s">
        <v>472</v>
      </c>
      <c r="B581" s="6" t="s">
        <v>740</v>
      </c>
      <c r="C581" s="6" t="s">
        <v>761</v>
      </c>
      <c r="D581" s="7">
        <v>45981</v>
      </c>
      <c r="E581" s="8" t="s">
        <v>251</v>
      </c>
      <c r="F581" s="8" t="s">
        <v>727</v>
      </c>
      <c r="G581" s="20" t="s">
        <v>326</v>
      </c>
      <c r="H581" s="9">
        <v>15000</v>
      </c>
      <c r="I581" s="9">
        <v>0</v>
      </c>
      <c r="J581" s="21"/>
    </row>
    <row r="582" spans="1:10" ht="21" x14ac:dyDescent="0.3">
      <c r="A582" s="6" t="s">
        <v>472</v>
      </c>
      <c r="B582" s="6" t="s">
        <v>740</v>
      </c>
      <c r="C582" s="6" t="s">
        <v>761</v>
      </c>
      <c r="D582" s="7">
        <v>45988</v>
      </c>
      <c r="E582" s="8" t="s">
        <v>251</v>
      </c>
      <c r="F582" s="8" t="s">
        <v>727</v>
      </c>
      <c r="G582" s="20" t="s">
        <v>327</v>
      </c>
      <c r="H582" s="9">
        <v>4000</v>
      </c>
      <c r="I582" s="9">
        <v>0</v>
      </c>
      <c r="J582" s="21"/>
    </row>
    <row r="583" spans="1:10" ht="21" x14ac:dyDescent="0.3">
      <c r="A583" s="6" t="s">
        <v>472</v>
      </c>
      <c r="B583" s="6" t="s">
        <v>740</v>
      </c>
      <c r="C583" s="6" t="s">
        <v>761</v>
      </c>
      <c r="D583" s="7">
        <v>45988</v>
      </c>
      <c r="E583" s="8" t="s">
        <v>251</v>
      </c>
      <c r="F583" s="8" t="s">
        <v>727</v>
      </c>
      <c r="G583" s="20" t="s">
        <v>328</v>
      </c>
      <c r="H583" s="9">
        <v>10000</v>
      </c>
      <c r="I583" s="9">
        <v>0</v>
      </c>
      <c r="J583" s="21"/>
    </row>
    <row r="584" spans="1:10" ht="42" x14ac:dyDescent="0.3">
      <c r="A584" s="6" t="s">
        <v>472</v>
      </c>
      <c r="B584" s="6" t="s">
        <v>740</v>
      </c>
      <c r="C584" s="6" t="s">
        <v>761</v>
      </c>
      <c r="D584" s="7">
        <v>45988</v>
      </c>
      <c r="E584" s="8" t="s">
        <v>251</v>
      </c>
      <c r="F584" s="8" t="s">
        <v>727</v>
      </c>
      <c r="G584" s="20" t="s">
        <v>329</v>
      </c>
      <c r="H584" s="9">
        <v>21700</v>
      </c>
      <c r="I584" s="9">
        <v>0</v>
      </c>
      <c r="J584" s="21"/>
    </row>
    <row r="585" spans="1:10" ht="21" x14ac:dyDescent="0.3">
      <c r="A585" s="6" t="s">
        <v>472</v>
      </c>
      <c r="B585" s="6" t="s">
        <v>740</v>
      </c>
      <c r="C585" s="6" t="s">
        <v>761</v>
      </c>
      <c r="D585" s="7">
        <v>45988</v>
      </c>
      <c r="E585" s="8" t="s">
        <v>251</v>
      </c>
      <c r="F585" s="8" t="s">
        <v>727</v>
      </c>
      <c r="G585" s="20" t="s">
        <v>330</v>
      </c>
      <c r="H585" s="9">
        <v>200</v>
      </c>
      <c r="I585" s="9">
        <v>0</v>
      </c>
      <c r="J585" s="21"/>
    </row>
    <row r="586" spans="1:10" ht="42" x14ac:dyDescent="0.3">
      <c r="A586" s="6" t="s">
        <v>472</v>
      </c>
      <c r="B586" s="6" t="s">
        <v>740</v>
      </c>
      <c r="C586" s="6" t="s">
        <v>761</v>
      </c>
      <c r="D586" s="7">
        <v>45988</v>
      </c>
      <c r="E586" s="8" t="s">
        <v>251</v>
      </c>
      <c r="F586" s="8" t="s">
        <v>727</v>
      </c>
      <c r="G586" s="20" t="s">
        <v>331</v>
      </c>
      <c r="H586" s="9">
        <v>250</v>
      </c>
      <c r="I586" s="9">
        <v>0</v>
      </c>
      <c r="J586" s="21"/>
    </row>
    <row r="587" spans="1:10" ht="21" x14ac:dyDescent="0.3">
      <c r="A587" s="6" t="s">
        <v>472</v>
      </c>
      <c r="B587" s="6" t="s">
        <v>740</v>
      </c>
      <c r="C587" s="6" t="s">
        <v>761</v>
      </c>
      <c r="D587" s="7">
        <v>45988</v>
      </c>
      <c r="E587" s="8" t="s">
        <v>251</v>
      </c>
      <c r="F587" s="8" t="s">
        <v>727</v>
      </c>
      <c r="G587" s="20" t="s">
        <v>332</v>
      </c>
      <c r="H587" s="9">
        <v>300</v>
      </c>
      <c r="I587" s="9">
        <v>0</v>
      </c>
      <c r="J587" s="21"/>
    </row>
    <row r="588" spans="1:10" ht="42" x14ac:dyDescent="0.3">
      <c r="A588" s="6" t="s">
        <v>472</v>
      </c>
      <c r="B588" s="6" t="s">
        <v>740</v>
      </c>
      <c r="C588" s="6" t="s">
        <v>761</v>
      </c>
      <c r="D588" s="7">
        <v>46003</v>
      </c>
      <c r="E588" s="8" t="s">
        <v>251</v>
      </c>
      <c r="F588" s="8" t="s">
        <v>727</v>
      </c>
      <c r="G588" s="20" t="s">
        <v>333</v>
      </c>
      <c r="H588" s="9">
        <v>14000</v>
      </c>
      <c r="I588" s="9">
        <v>0</v>
      </c>
      <c r="J588" s="21"/>
    </row>
    <row r="589" spans="1:10" ht="42" x14ac:dyDescent="0.3">
      <c r="A589" s="6" t="s">
        <v>472</v>
      </c>
      <c r="B589" s="6" t="s">
        <v>740</v>
      </c>
      <c r="C589" s="6" t="s">
        <v>761</v>
      </c>
      <c r="D589" s="7">
        <v>46003</v>
      </c>
      <c r="E589" s="8" t="s">
        <v>251</v>
      </c>
      <c r="F589" s="8" t="s">
        <v>727</v>
      </c>
      <c r="G589" s="20" t="s">
        <v>334</v>
      </c>
      <c r="H589" s="9">
        <v>1000</v>
      </c>
      <c r="I589" s="9">
        <v>0</v>
      </c>
      <c r="J589" s="21"/>
    </row>
    <row r="590" spans="1:10" ht="21" x14ac:dyDescent="0.3">
      <c r="A590" s="6" t="s">
        <v>472</v>
      </c>
      <c r="B590" s="6" t="s">
        <v>740</v>
      </c>
      <c r="C590" s="6" t="s">
        <v>761</v>
      </c>
      <c r="D590" s="7">
        <v>46003</v>
      </c>
      <c r="E590" s="8" t="s">
        <v>251</v>
      </c>
      <c r="F590" s="8" t="s">
        <v>727</v>
      </c>
      <c r="G590" s="20" t="s">
        <v>335</v>
      </c>
      <c r="H590" s="9">
        <v>200</v>
      </c>
      <c r="I590" s="9">
        <v>0</v>
      </c>
      <c r="J590" s="21"/>
    </row>
    <row r="591" spans="1:10" ht="42" x14ac:dyDescent="0.3">
      <c r="A591" s="6" t="s">
        <v>472</v>
      </c>
      <c r="B591" s="6" t="s">
        <v>740</v>
      </c>
      <c r="C591" s="6" t="s">
        <v>761</v>
      </c>
      <c r="D591" s="7">
        <v>46003</v>
      </c>
      <c r="E591" s="8" t="s">
        <v>251</v>
      </c>
      <c r="F591" s="8" t="s">
        <v>727</v>
      </c>
      <c r="G591" s="20" t="s">
        <v>336</v>
      </c>
      <c r="H591" s="9">
        <v>1400</v>
      </c>
      <c r="I591" s="9">
        <v>0</v>
      </c>
      <c r="J591" s="21"/>
    </row>
    <row r="592" spans="1:10" ht="42" x14ac:dyDescent="0.3">
      <c r="A592" s="6" t="s">
        <v>472</v>
      </c>
      <c r="B592" s="6" t="s">
        <v>740</v>
      </c>
      <c r="C592" s="6" t="s">
        <v>761</v>
      </c>
      <c r="D592" s="7">
        <v>46003</v>
      </c>
      <c r="E592" s="8" t="s">
        <v>251</v>
      </c>
      <c r="F592" s="8" t="s">
        <v>727</v>
      </c>
      <c r="G592" s="20" t="s">
        <v>337</v>
      </c>
      <c r="H592" s="9">
        <v>400</v>
      </c>
      <c r="I592" s="9">
        <v>0</v>
      </c>
      <c r="J592" s="21"/>
    </row>
    <row r="593" spans="1:10" ht="42" x14ac:dyDescent="0.3">
      <c r="A593" s="6" t="s">
        <v>472</v>
      </c>
      <c r="B593" s="6" t="s">
        <v>740</v>
      </c>
      <c r="C593" s="6" t="s">
        <v>761</v>
      </c>
      <c r="D593" s="7">
        <v>46003</v>
      </c>
      <c r="E593" s="8" t="s">
        <v>251</v>
      </c>
      <c r="F593" s="8" t="s">
        <v>727</v>
      </c>
      <c r="G593" s="20" t="s">
        <v>338</v>
      </c>
      <c r="H593" s="9">
        <v>1000</v>
      </c>
      <c r="I593" s="9">
        <v>0</v>
      </c>
      <c r="J593" s="21"/>
    </row>
    <row r="594" spans="1:10" ht="42" x14ac:dyDescent="0.3">
      <c r="A594" s="6" t="s">
        <v>472</v>
      </c>
      <c r="B594" s="6" t="s">
        <v>740</v>
      </c>
      <c r="C594" s="6" t="s">
        <v>761</v>
      </c>
      <c r="D594" s="7">
        <v>46003</v>
      </c>
      <c r="E594" s="8" t="s">
        <v>251</v>
      </c>
      <c r="F594" s="8" t="s">
        <v>727</v>
      </c>
      <c r="G594" s="20" t="s">
        <v>339</v>
      </c>
      <c r="H594" s="9">
        <v>1300</v>
      </c>
      <c r="I594" s="9">
        <v>0</v>
      </c>
      <c r="J594" s="21"/>
    </row>
    <row r="595" spans="1:10" ht="21" x14ac:dyDescent="0.3">
      <c r="A595" s="6" t="s">
        <v>472</v>
      </c>
      <c r="B595" s="6" t="s">
        <v>740</v>
      </c>
      <c r="C595" s="6" t="s">
        <v>761</v>
      </c>
      <c r="D595" s="7">
        <v>46003</v>
      </c>
      <c r="E595" s="8" t="s">
        <v>251</v>
      </c>
      <c r="F595" s="8" t="s">
        <v>727</v>
      </c>
      <c r="G595" s="20" t="s">
        <v>340</v>
      </c>
      <c r="H595" s="9">
        <v>150</v>
      </c>
      <c r="I595" s="9">
        <v>0</v>
      </c>
      <c r="J595" s="21"/>
    </row>
    <row r="596" spans="1:10" ht="21" x14ac:dyDescent="0.3">
      <c r="A596" s="6" t="s">
        <v>472</v>
      </c>
      <c r="B596" s="6" t="s">
        <v>740</v>
      </c>
      <c r="C596" s="6" t="s">
        <v>762</v>
      </c>
      <c r="D596" s="7">
        <v>46003</v>
      </c>
      <c r="E596" s="8" t="s">
        <v>470</v>
      </c>
      <c r="F596" s="8" t="s">
        <v>470</v>
      </c>
      <c r="G596" s="20" t="s">
        <v>341</v>
      </c>
      <c r="H596" s="9">
        <f>7%*SUM(H492:H595)</f>
        <v>115138.1</v>
      </c>
      <c r="I596" s="9">
        <v>0</v>
      </c>
      <c r="J596" s="21"/>
    </row>
    <row r="597" spans="1:10" ht="21" x14ac:dyDescent="0.3">
      <c r="A597" s="6" t="s">
        <v>473</v>
      </c>
      <c r="B597" s="6" t="s">
        <v>740</v>
      </c>
      <c r="C597" s="8" t="s">
        <v>10</v>
      </c>
      <c r="D597" s="7">
        <v>45992</v>
      </c>
      <c r="E597" s="8" t="s">
        <v>10</v>
      </c>
      <c r="F597" s="8" t="s">
        <v>10</v>
      </c>
      <c r="G597" s="20" t="s">
        <v>344</v>
      </c>
      <c r="H597" s="9">
        <v>0</v>
      </c>
      <c r="I597" s="9">
        <v>5000</v>
      </c>
      <c r="J597" s="21"/>
    </row>
    <row r="598" spans="1:10" ht="21" x14ac:dyDescent="0.3">
      <c r="A598" s="6" t="s">
        <v>473</v>
      </c>
      <c r="B598" s="6" t="s">
        <v>740</v>
      </c>
      <c r="C598" s="8" t="s">
        <v>10</v>
      </c>
      <c r="D598" s="7">
        <v>45993</v>
      </c>
      <c r="E598" s="8" t="s">
        <v>10</v>
      </c>
      <c r="F598" s="8" t="s">
        <v>10</v>
      </c>
      <c r="G598" s="20" t="s">
        <v>345</v>
      </c>
      <c r="H598" s="9">
        <v>0</v>
      </c>
      <c r="I598" s="9">
        <v>50000</v>
      </c>
      <c r="J598" s="21"/>
    </row>
    <row r="599" spans="1:10" ht="21" x14ac:dyDescent="0.3">
      <c r="A599" s="6" t="s">
        <v>473</v>
      </c>
      <c r="B599" s="6" t="s">
        <v>740</v>
      </c>
      <c r="C599" s="8" t="s">
        <v>10</v>
      </c>
      <c r="D599" s="7">
        <v>46029</v>
      </c>
      <c r="E599" s="8" t="s">
        <v>10</v>
      </c>
      <c r="F599" s="8" t="s">
        <v>10</v>
      </c>
      <c r="G599" s="20" t="s">
        <v>597</v>
      </c>
      <c r="H599" s="9">
        <v>0</v>
      </c>
      <c r="I599" s="9">
        <v>250000</v>
      </c>
      <c r="J599" s="21"/>
    </row>
    <row r="600" spans="1:10" ht="21" x14ac:dyDescent="0.3">
      <c r="A600" s="6" t="s">
        <v>473</v>
      </c>
      <c r="B600" s="6" t="s">
        <v>740</v>
      </c>
      <c r="C600" s="8" t="s">
        <v>10</v>
      </c>
      <c r="D600" s="7">
        <v>46107</v>
      </c>
      <c r="E600" s="8" t="s">
        <v>10</v>
      </c>
      <c r="F600" s="8" t="s">
        <v>10</v>
      </c>
      <c r="G600" s="20" t="s">
        <v>466</v>
      </c>
      <c r="H600" s="9">
        <v>0</v>
      </c>
      <c r="I600" s="9">
        <v>200000</v>
      </c>
      <c r="J600" s="21"/>
    </row>
    <row r="601" spans="1:10" ht="21" x14ac:dyDescent="0.3">
      <c r="A601" s="6" t="s">
        <v>473</v>
      </c>
      <c r="B601" s="6" t="s">
        <v>740</v>
      </c>
      <c r="C601" s="8" t="s">
        <v>10</v>
      </c>
      <c r="D601" s="7">
        <v>46139</v>
      </c>
      <c r="E601" s="8" t="s">
        <v>10</v>
      </c>
      <c r="F601" s="8" t="s">
        <v>10</v>
      </c>
      <c r="G601" s="20" t="s">
        <v>597</v>
      </c>
      <c r="H601" s="9">
        <v>0</v>
      </c>
      <c r="I601" s="9">
        <v>100000</v>
      </c>
      <c r="J601" s="21"/>
    </row>
    <row r="602" spans="1:10" ht="21" x14ac:dyDescent="0.3">
      <c r="A602" s="6" t="s">
        <v>473</v>
      </c>
      <c r="B602" s="6" t="s">
        <v>740</v>
      </c>
      <c r="C602" s="6" t="s">
        <v>761</v>
      </c>
      <c r="D602" s="7">
        <v>45992</v>
      </c>
      <c r="E602" s="8" t="s">
        <v>12</v>
      </c>
      <c r="F602" s="8" t="s">
        <v>750</v>
      </c>
      <c r="G602" s="20" t="s">
        <v>346</v>
      </c>
      <c r="H602" s="9">
        <v>0</v>
      </c>
      <c r="I602" s="9">
        <v>0</v>
      </c>
      <c r="J602" s="21"/>
    </row>
    <row r="603" spans="1:10" ht="21" x14ac:dyDescent="0.3">
      <c r="A603" s="6" t="s">
        <v>473</v>
      </c>
      <c r="B603" s="6" t="s">
        <v>740</v>
      </c>
      <c r="C603" s="6" t="s">
        <v>761</v>
      </c>
      <c r="D603" s="7">
        <v>45992</v>
      </c>
      <c r="E603" s="8" t="s">
        <v>448</v>
      </c>
      <c r="F603" s="8" t="s">
        <v>485</v>
      </c>
      <c r="G603" s="20" t="s">
        <v>344</v>
      </c>
      <c r="H603" s="9">
        <v>5000</v>
      </c>
      <c r="I603" s="9">
        <v>0</v>
      </c>
      <c r="J603" s="21"/>
    </row>
    <row r="604" spans="1:10" ht="21" x14ac:dyDescent="0.3">
      <c r="A604" s="6" t="s">
        <v>473</v>
      </c>
      <c r="B604" s="6" t="s">
        <v>740</v>
      </c>
      <c r="C604" s="6" t="s">
        <v>761</v>
      </c>
      <c r="D604" s="7">
        <v>45993</v>
      </c>
      <c r="E604" s="8" t="s">
        <v>448</v>
      </c>
      <c r="F604" s="8" t="s">
        <v>485</v>
      </c>
      <c r="G604" s="20" t="s">
        <v>345</v>
      </c>
      <c r="H604" s="9">
        <v>50000</v>
      </c>
      <c r="I604" s="9">
        <v>0</v>
      </c>
      <c r="J604" s="21"/>
    </row>
    <row r="605" spans="1:10" ht="21" x14ac:dyDescent="0.3">
      <c r="A605" s="6" t="s">
        <v>473</v>
      </c>
      <c r="B605" s="6" t="s">
        <v>740</v>
      </c>
      <c r="C605" s="6" t="s">
        <v>761</v>
      </c>
      <c r="D605" s="7">
        <v>46029</v>
      </c>
      <c r="E605" s="8" t="s">
        <v>591</v>
      </c>
      <c r="F605" s="8" t="s">
        <v>94</v>
      </c>
      <c r="G605" s="20" t="s">
        <v>347</v>
      </c>
      <c r="H605" s="9">
        <v>1750</v>
      </c>
      <c r="I605" s="9">
        <v>0</v>
      </c>
      <c r="J605" s="21"/>
    </row>
    <row r="606" spans="1:10" ht="42" x14ac:dyDescent="0.3">
      <c r="A606" s="6" t="s">
        <v>473</v>
      </c>
      <c r="B606" s="6" t="s">
        <v>740</v>
      </c>
      <c r="C606" s="6" t="s">
        <v>761</v>
      </c>
      <c r="D606" s="7">
        <v>46029</v>
      </c>
      <c r="E606" s="8" t="s">
        <v>591</v>
      </c>
      <c r="F606" s="8" t="s">
        <v>414</v>
      </c>
      <c r="G606" s="20" t="s">
        <v>348</v>
      </c>
      <c r="H606" s="9">
        <v>1375</v>
      </c>
      <c r="I606" s="9">
        <v>0</v>
      </c>
      <c r="J606" s="21"/>
    </row>
    <row r="607" spans="1:10" ht="21" x14ac:dyDescent="0.3">
      <c r="A607" s="6" t="s">
        <v>473</v>
      </c>
      <c r="B607" s="6" t="s">
        <v>740</v>
      </c>
      <c r="C607" s="6" t="s">
        <v>761</v>
      </c>
      <c r="D607" s="7">
        <v>46034</v>
      </c>
      <c r="E607" s="8" t="s">
        <v>591</v>
      </c>
      <c r="F607" s="8" t="s">
        <v>478</v>
      </c>
      <c r="G607" s="20" t="s">
        <v>427</v>
      </c>
      <c r="H607" s="9">
        <v>10000</v>
      </c>
      <c r="I607" s="9">
        <v>0</v>
      </c>
      <c r="J607" s="21"/>
    </row>
    <row r="608" spans="1:10" ht="42" x14ac:dyDescent="0.3">
      <c r="A608" s="6" t="s">
        <v>473</v>
      </c>
      <c r="B608" s="6" t="s">
        <v>740</v>
      </c>
      <c r="C608" s="6" t="s">
        <v>761</v>
      </c>
      <c r="D608" s="7">
        <v>46052</v>
      </c>
      <c r="E608" s="8" t="s">
        <v>591</v>
      </c>
      <c r="F608" s="8" t="s">
        <v>751</v>
      </c>
      <c r="G608" s="20" t="s">
        <v>349</v>
      </c>
      <c r="H608" s="9">
        <v>650</v>
      </c>
      <c r="I608" s="9">
        <v>0</v>
      </c>
      <c r="J608" s="21"/>
    </row>
    <row r="609" spans="1:10" ht="21" x14ac:dyDescent="0.3">
      <c r="A609" s="6" t="s">
        <v>473</v>
      </c>
      <c r="B609" s="6" t="s">
        <v>740</v>
      </c>
      <c r="C609" s="6" t="s">
        <v>761</v>
      </c>
      <c r="D609" s="7">
        <v>46052</v>
      </c>
      <c r="E609" s="8" t="s">
        <v>591</v>
      </c>
      <c r="F609" s="8" t="s">
        <v>717</v>
      </c>
      <c r="G609" s="20" t="s">
        <v>350</v>
      </c>
      <c r="H609" s="9">
        <v>350</v>
      </c>
      <c r="I609" s="9">
        <v>0</v>
      </c>
      <c r="J609" s="21"/>
    </row>
    <row r="610" spans="1:10" ht="21" x14ac:dyDescent="0.3">
      <c r="A610" s="6" t="s">
        <v>473</v>
      </c>
      <c r="B610" s="6" t="s">
        <v>740</v>
      </c>
      <c r="C610" s="6" t="s">
        <v>761</v>
      </c>
      <c r="D610" s="7">
        <v>46055</v>
      </c>
      <c r="E610" s="8" t="s">
        <v>591</v>
      </c>
      <c r="F610" s="8" t="s">
        <v>25</v>
      </c>
      <c r="G610" s="20" t="s">
        <v>351</v>
      </c>
      <c r="H610" s="9">
        <v>1000</v>
      </c>
      <c r="I610" s="9">
        <v>0</v>
      </c>
      <c r="J610" s="21"/>
    </row>
    <row r="611" spans="1:10" ht="63" x14ac:dyDescent="0.3">
      <c r="A611" s="6" t="s">
        <v>473</v>
      </c>
      <c r="B611" s="6" t="s">
        <v>740</v>
      </c>
      <c r="C611" s="6" t="s">
        <v>761</v>
      </c>
      <c r="D611" s="7">
        <v>46074</v>
      </c>
      <c r="E611" s="8" t="s">
        <v>591</v>
      </c>
      <c r="F611" s="8" t="s">
        <v>653</v>
      </c>
      <c r="G611" s="20" t="s">
        <v>394</v>
      </c>
      <c r="H611" s="9">
        <v>1100</v>
      </c>
      <c r="I611" s="9">
        <v>0</v>
      </c>
      <c r="J611" s="21"/>
    </row>
    <row r="612" spans="1:10" ht="42" x14ac:dyDescent="0.3">
      <c r="A612" s="6" t="s">
        <v>473</v>
      </c>
      <c r="B612" s="6" t="s">
        <v>740</v>
      </c>
      <c r="C612" s="6" t="s">
        <v>761</v>
      </c>
      <c r="D612" s="7">
        <v>46074</v>
      </c>
      <c r="E612" s="8" t="s">
        <v>591</v>
      </c>
      <c r="F612" s="8" t="s">
        <v>751</v>
      </c>
      <c r="G612" s="20" t="s">
        <v>395</v>
      </c>
      <c r="H612" s="9">
        <v>1200</v>
      </c>
      <c r="I612" s="9">
        <v>0</v>
      </c>
      <c r="J612" s="21"/>
    </row>
    <row r="613" spans="1:10" ht="42" x14ac:dyDescent="0.3">
      <c r="A613" s="6" t="s">
        <v>473</v>
      </c>
      <c r="B613" s="6" t="s">
        <v>740</v>
      </c>
      <c r="C613" s="6" t="s">
        <v>761</v>
      </c>
      <c r="D613" s="7">
        <v>46077</v>
      </c>
      <c r="E613" s="8" t="s">
        <v>591</v>
      </c>
      <c r="F613" s="8" t="s">
        <v>414</v>
      </c>
      <c r="G613" s="20" t="s">
        <v>396</v>
      </c>
      <c r="H613" s="9">
        <v>1785</v>
      </c>
      <c r="I613" s="9">
        <v>0</v>
      </c>
      <c r="J613" s="21"/>
    </row>
    <row r="614" spans="1:10" ht="21" x14ac:dyDescent="0.3">
      <c r="A614" s="6" t="s">
        <v>473</v>
      </c>
      <c r="B614" s="6" t="s">
        <v>740</v>
      </c>
      <c r="C614" s="6" t="s">
        <v>761</v>
      </c>
      <c r="D614" s="7">
        <v>46081</v>
      </c>
      <c r="E614" s="8" t="s">
        <v>591</v>
      </c>
      <c r="F614" s="8" t="s">
        <v>195</v>
      </c>
      <c r="G614" s="20" t="s">
        <v>397</v>
      </c>
      <c r="H614" s="9">
        <v>5000</v>
      </c>
      <c r="I614" s="9">
        <v>0</v>
      </c>
      <c r="J614" s="21"/>
    </row>
    <row r="615" spans="1:10" ht="63" x14ac:dyDescent="0.3">
      <c r="A615" s="6" t="s">
        <v>473</v>
      </c>
      <c r="B615" s="6" t="s">
        <v>740</v>
      </c>
      <c r="C615" s="6" t="s">
        <v>761</v>
      </c>
      <c r="D615" s="7">
        <v>46081</v>
      </c>
      <c r="E615" s="8" t="s">
        <v>591</v>
      </c>
      <c r="F615" s="8" t="s">
        <v>94</v>
      </c>
      <c r="G615" s="20" t="s">
        <v>398</v>
      </c>
      <c r="H615" s="9">
        <v>3000</v>
      </c>
      <c r="I615" s="9">
        <v>0</v>
      </c>
      <c r="J615" s="21"/>
    </row>
    <row r="616" spans="1:10" ht="84" x14ac:dyDescent="0.3">
      <c r="A616" s="6" t="s">
        <v>473</v>
      </c>
      <c r="B616" s="6" t="s">
        <v>740</v>
      </c>
      <c r="C616" s="6" t="s">
        <v>761</v>
      </c>
      <c r="D616" s="7">
        <v>46081</v>
      </c>
      <c r="E616" s="8" t="s">
        <v>591</v>
      </c>
      <c r="F616" s="8" t="s">
        <v>751</v>
      </c>
      <c r="G616" s="20" t="s">
        <v>399</v>
      </c>
      <c r="H616" s="9">
        <v>1400</v>
      </c>
      <c r="I616" s="9">
        <v>0</v>
      </c>
      <c r="J616" s="21"/>
    </row>
    <row r="617" spans="1:10" ht="84" x14ac:dyDescent="0.3">
      <c r="A617" s="6" t="s">
        <v>473</v>
      </c>
      <c r="B617" s="6" t="s">
        <v>740</v>
      </c>
      <c r="C617" s="6" t="s">
        <v>761</v>
      </c>
      <c r="D617" s="7">
        <v>46081</v>
      </c>
      <c r="E617" s="8" t="s">
        <v>591</v>
      </c>
      <c r="F617" s="8" t="s">
        <v>113</v>
      </c>
      <c r="G617" s="20" t="s">
        <v>400</v>
      </c>
      <c r="H617" s="9">
        <v>11300</v>
      </c>
      <c r="I617" s="9">
        <v>0</v>
      </c>
      <c r="J617" s="21"/>
    </row>
    <row r="618" spans="1:10" ht="42" x14ac:dyDescent="0.3">
      <c r="A618" s="6" t="s">
        <v>473</v>
      </c>
      <c r="B618" s="6" t="s">
        <v>740</v>
      </c>
      <c r="C618" s="6" t="s">
        <v>761</v>
      </c>
      <c r="D618" s="7">
        <v>46081</v>
      </c>
      <c r="E618" s="8" t="s">
        <v>591</v>
      </c>
      <c r="F618" s="8" t="s">
        <v>465</v>
      </c>
      <c r="G618" s="20" t="s">
        <v>401</v>
      </c>
      <c r="H618" s="9">
        <v>500</v>
      </c>
      <c r="I618" s="9">
        <v>0</v>
      </c>
      <c r="J618" s="21"/>
    </row>
    <row r="619" spans="1:10" ht="63" x14ac:dyDescent="0.3">
      <c r="A619" s="6" t="s">
        <v>473</v>
      </c>
      <c r="B619" s="6" t="s">
        <v>740</v>
      </c>
      <c r="C619" s="6" t="s">
        <v>761</v>
      </c>
      <c r="D619" s="7">
        <v>46081</v>
      </c>
      <c r="E619" s="8" t="s">
        <v>591</v>
      </c>
      <c r="F619" s="8" t="s">
        <v>438</v>
      </c>
      <c r="G619" s="20" t="s">
        <v>402</v>
      </c>
      <c r="H619" s="9">
        <v>2800</v>
      </c>
      <c r="I619" s="9">
        <v>0</v>
      </c>
      <c r="J619" s="21"/>
    </row>
    <row r="620" spans="1:10" ht="42" x14ac:dyDescent="0.3">
      <c r="A620" s="6" t="s">
        <v>473</v>
      </c>
      <c r="B620" s="6" t="s">
        <v>740</v>
      </c>
      <c r="C620" s="6" t="s">
        <v>761</v>
      </c>
      <c r="D620" s="7">
        <v>46081</v>
      </c>
      <c r="E620" s="8" t="s">
        <v>591</v>
      </c>
      <c r="F620" s="8" t="s">
        <v>385</v>
      </c>
      <c r="G620" s="20" t="s">
        <v>403</v>
      </c>
      <c r="H620" s="9">
        <v>3000</v>
      </c>
      <c r="I620" s="9">
        <v>0</v>
      </c>
      <c r="J620" s="21"/>
    </row>
    <row r="621" spans="1:10" ht="42" x14ac:dyDescent="0.3">
      <c r="A621" s="6" t="s">
        <v>473</v>
      </c>
      <c r="B621" s="6" t="s">
        <v>740</v>
      </c>
      <c r="C621" s="6" t="s">
        <v>761</v>
      </c>
      <c r="D621" s="7">
        <v>46081</v>
      </c>
      <c r="E621" s="8" t="s">
        <v>591</v>
      </c>
      <c r="F621" s="8" t="s">
        <v>727</v>
      </c>
      <c r="G621" s="20" t="s">
        <v>404</v>
      </c>
      <c r="H621" s="9">
        <v>750</v>
      </c>
      <c r="I621" s="9">
        <v>0</v>
      </c>
      <c r="J621" s="21"/>
    </row>
    <row r="622" spans="1:10" ht="21" x14ac:dyDescent="0.3">
      <c r="A622" s="6" t="s">
        <v>473</v>
      </c>
      <c r="B622" s="6" t="s">
        <v>740</v>
      </c>
      <c r="C622" s="6" t="s">
        <v>761</v>
      </c>
      <c r="D622" s="7">
        <v>46088</v>
      </c>
      <c r="E622" s="8" t="s">
        <v>591</v>
      </c>
      <c r="F622" s="8" t="s">
        <v>751</v>
      </c>
      <c r="G622" s="20" t="s">
        <v>405</v>
      </c>
      <c r="H622" s="9">
        <v>300</v>
      </c>
      <c r="I622" s="9">
        <v>0</v>
      </c>
      <c r="J622" s="21"/>
    </row>
    <row r="623" spans="1:10" ht="63" x14ac:dyDescent="0.3">
      <c r="A623" s="6" t="s">
        <v>473</v>
      </c>
      <c r="B623" s="6" t="s">
        <v>740</v>
      </c>
      <c r="C623" s="6" t="s">
        <v>761</v>
      </c>
      <c r="D623" s="7">
        <v>46088</v>
      </c>
      <c r="E623" s="8" t="s">
        <v>591</v>
      </c>
      <c r="F623" s="8" t="s">
        <v>464</v>
      </c>
      <c r="G623" s="20" t="s">
        <v>406</v>
      </c>
      <c r="H623" s="9">
        <v>1050</v>
      </c>
      <c r="I623" s="9">
        <v>0</v>
      </c>
      <c r="J623" s="21"/>
    </row>
    <row r="624" spans="1:10" ht="21" x14ac:dyDescent="0.3">
      <c r="A624" s="6" t="s">
        <v>473</v>
      </c>
      <c r="B624" s="6" t="s">
        <v>740</v>
      </c>
      <c r="C624" s="6" t="s">
        <v>761</v>
      </c>
      <c r="D624" s="7">
        <v>46088</v>
      </c>
      <c r="E624" s="8" t="s">
        <v>591</v>
      </c>
      <c r="F624" s="8" t="s">
        <v>94</v>
      </c>
      <c r="G624" s="20" t="s">
        <v>407</v>
      </c>
      <c r="H624" s="9">
        <v>2000</v>
      </c>
      <c r="I624" s="9">
        <v>0</v>
      </c>
      <c r="J624" s="21"/>
    </row>
    <row r="625" spans="1:10" ht="42" x14ac:dyDescent="0.3">
      <c r="A625" s="6" t="s">
        <v>473</v>
      </c>
      <c r="B625" s="6" t="s">
        <v>740</v>
      </c>
      <c r="C625" s="6" t="s">
        <v>761</v>
      </c>
      <c r="D625" s="7">
        <v>46088</v>
      </c>
      <c r="E625" s="8" t="s">
        <v>591</v>
      </c>
      <c r="F625" s="8" t="s">
        <v>621</v>
      </c>
      <c r="G625" s="20" t="s">
        <v>408</v>
      </c>
      <c r="H625" s="9">
        <v>250</v>
      </c>
      <c r="I625" s="9">
        <v>0</v>
      </c>
      <c r="J625" s="21"/>
    </row>
    <row r="626" spans="1:10" ht="21" x14ac:dyDescent="0.3">
      <c r="A626" s="6" t="s">
        <v>473</v>
      </c>
      <c r="B626" s="6" t="s">
        <v>740</v>
      </c>
      <c r="C626" s="6" t="s">
        <v>761</v>
      </c>
      <c r="D626" s="7">
        <v>46088</v>
      </c>
      <c r="E626" s="8" t="s">
        <v>591</v>
      </c>
      <c r="F626" s="8" t="s">
        <v>465</v>
      </c>
      <c r="G626" s="20" t="s">
        <v>409</v>
      </c>
      <c r="H626" s="9">
        <v>570</v>
      </c>
      <c r="I626" s="9">
        <v>0</v>
      </c>
      <c r="J626" s="21"/>
    </row>
    <row r="627" spans="1:10" ht="42" x14ac:dyDescent="0.3">
      <c r="A627" s="6" t="s">
        <v>473</v>
      </c>
      <c r="B627" s="6" t="s">
        <v>740</v>
      </c>
      <c r="C627" s="6" t="s">
        <v>761</v>
      </c>
      <c r="D627" s="7">
        <v>46088</v>
      </c>
      <c r="E627" s="8" t="s">
        <v>591</v>
      </c>
      <c r="F627" s="8" t="s">
        <v>414</v>
      </c>
      <c r="G627" s="20" t="s">
        <v>410</v>
      </c>
      <c r="H627" s="9">
        <v>4769</v>
      </c>
      <c r="I627" s="9">
        <v>0</v>
      </c>
      <c r="J627" s="21"/>
    </row>
    <row r="628" spans="1:10" ht="21" x14ac:dyDescent="0.3">
      <c r="A628" s="6" t="s">
        <v>473</v>
      </c>
      <c r="B628" s="6" t="s">
        <v>740</v>
      </c>
      <c r="C628" s="6" t="s">
        <v>761</v>
      </c>
      <c r="D628" s="7">
        <v>46091</v>
      </c>
      <c r="E628" s="8" t="s">
        <v>591</v>
      </c>
      <c r="F628" s="8" t="s">
        <v>415</v>
      </c>
      <c r="G628" s="20" t="s">
        <v>411</v>
      </c>
      <c r="H628" s="9">
        <v>66655</v>
      </c>
      <c r="I628" s="9">
        <v>0</v>
      </c>
      <c r="J628" s="21"/>
    </row>
    <row r="629" spans="1:10" ht="21" x14ac:dyDescent="0.3">
      <c r="A629" s="6" t="s">
        <v>473</v>
      </c>
      <c r="B629" s="6" t="s">
        <v>740</v>
      </c>
      <c r="C629" s="6" t="s">
        <v>761</v>
      </c>
      <c r="D629" s="7">
        <v>46091</v>
      </c>
      <c r="E629" s="8" t="s">
        <v>591</v>
      </c>
      <c r="F629" s="8" t="s">
        <v>478</v>
      </c>
      <c r="G629" s="20" t="s">
        <v>428</v>
      </c>
      <c r="H629" s="9">
        <v>20000</v>
      </c>
      <c r="I629" s="9">
        <v>0</v>
      </c>
      <c r="J629" s="21"/>
    </row>
    <row r="630" spans="1:10" ht="21" x14ac:dyDescent="0.3">
      <c r="A630" s="6" t="s">
        <v>473</v>
      </c>
      <c r="B630" s="6" t="s">
        <v>740</v>
      </c>
      <c r="C630" s="6" t="s">
        <v>761</v>
      </c>
      <c r="D630" s="7">
        <v>46091</v>
      </c>
      <c r="E630" s="8" t="s">
        <v>591</v>
      </c>
      <c r="F630" s="8" t="s">
        <v>450</v>
      </c>
      <c r="G630" s="20" t="s">
        <v>412</v>
      </c>
      <c r="H630" s="9">
        <v>5000</v>
      </c>
      <c r="I630" s="9">
        <v>0</v>
      </c>
      <c r="J630" s="21"/>
    </row>
    <row r="631" spans="1:10" ht="21" x14ac:dyDescent="0.3">
      <c r="A631" s="6" t="s">
        <v>473</v>
      </c>
      <c r="B631" s="6" t="s">
        <v>740</v>
      </c>
      <c r="C631" s="6" t="s">
        <v>761</v>
      </c>
      <c r="D631" s="7">
        <v>46091</v>
      </c>
      <c r="E631" s="8" t="s">
        <v>591</v>
      </c>
      <c r="F631" s="8" t="s">
        <v>450</v>
      </c>
      <c r="G631" s="20" t="s">
        <v>413</v>
      </c>
      <c r="H631" s="9">
        <v>10965</v>
      </c>
      <c r="I631" s="9">
        <v>0</v>
      </c>
      <c r="J631" s="21"/>
    </row>
    <row r="632" spans="1:10" ht="21" x14ac:dyDescent="0.3">
      <c r="A632" s="6" t="s">
        <v>473</v>
      </c>
      <c r="B632" s="6" t="s">
        <v>740</v>
      </c>
      <c r="C632" s="6" t="s">
        <v>761</v>
      </c>
      <c r="D632" s="7">
        <v>46104</v>
      </c>
      <c r="E632" s="8" t="s">
        <v>591</v>
      </c>
      <c r="F632" s="8" t="s">
        <v>195</v>
      </c>
      <c r="G632" s="20" t="s">
        <v>429</v>
      </c>
      <c r="H632" s="9">
        <v>10000</v>
      </c>
      <c r="I632" s="9">
        <v>0</v>
      </c>
      <c r="J632" s="21"/>
    </row>
    <row r="633" spans="1:10" ht="21" x14ac:dyDescent="0.3">
      <c r="A633" s="6" t="s">
        <v>473</v>
      </c>
      <c r="B633" s="6" t="s">
        <v>740</v>
      </c>
      <c r="C633" s="6" t="s">
        <v>761</v>
      </c>
      <c r="D633" s="7">
        <v>46105</v>
      </c>
      <c r="E633" s="8" t="s">
        <v>591</v>
      </c>
      <c r="F633" s="8" t="s">
        <v>478</v>
      </c>
      <c r="G633" s="20" t="s">
        <v>428</v>
      </c>
      <c r="H633" s="9">
        <v>30000</v>
      </c>
      <c r="I633" s="9">
        <v>0</v>
      </c>
      <c r="J633" s="21"/>
    </row>
    <row r="634" spans="1:10" ht="42" x14ac:dyDescent="0.3">
      <c r="A634" s="6" t="s">
        <v>473</v>
      </c>
      <c r="B634" s="6" t="s">
        <v>740</v>
      </c>
      <c r="C634" s="6" t="s">
        <v>761</v>
      </c>
      <c r="D634" s="7">
        <v>46105</v>
      </c>
      <c r="E634" s="8" t="s">
        <v>591</v>
      </c>
      <c r="F634" s="8" t="s">
        <v>464</v>
      </c>
      <c r="G634" s="20" t="s">
        <v>430</v>
      </c>
      <c r="H634" s="9">
        <v>750</v>
      </c>
      <c r="I634" s="9">
        <v>0</v>
      </c>
      <c r="J634" s="21"/>
    </row>
    <row r="635" spans="1:10" ht="21" x14ac:dyDescent="0.3">
      <c r="A635" s="6" t="s">
        <v>473</v>
      </c>
      <c r="B635" s="6" t="s">
        <v>740</v>
      </c>
      <c r="C635" s="6" t="s">
        <v>761</v>
      </c>
      <c r="D635" s="7">
        <v>46105</v>
      </c>
      <c r="E635" s="8" t="s">
        <v>591</v>
      </c>
      <c r="F635" s="8" t="s">
        <v>464</v>
      </c>
      <c r="G635" s="20" t="s">
        <v>492</v>
      </c>
      <c r="H635" s="9">
        <v>750</v>
      </c>
      <c r="I635" s="9">
        <v>0</v>
      </c>
      <c r="J635" s="21"/>
    </row>
    <row r="636" spans="1:10" ht="21" x14ac:dyDescent="0.3">
      <c r="A636" s="6" t="s">
        <v>473</v>
      </c>
      <c r="B636" s="6" t="s">
        <v>740</v>
      </c>
      <c r="C636" s="6" t="s">
        <v>761</v>
      </c>
      <c r="D636" s="7">
        <v>46105</v>
      </c>
      <c r="E636" s="8" t="s">
        <v>591</v>
      </c>
      <c r="F636" s="8" t="s">
        <v>437</v>
      </c>
      <c r="G636" s="20" t="s">
        <v>431</v>
      </c>
      <c r="H636" s="9">
        <v>3500</v>
      </c>
      <c r="I636" s="9">
        <v>0</v>
      </c>
      <c r="J636" s="21"/>
    </row>
    <row r="637" spans="1:10" ht="21" x14ac:dyDescent="0.3">
      <c r="A637" s="6" t="s">
        <v>473</v>
      </c>
      <c r="B637" s="6" t="s">
        <v>740</v>
      </c>
      <c r="C637" s="6" t="s">
        <v>761</v>
      </c>
      <c r="D637" s="7">
        <v>46105</v>
      </c>
      <c r="E637" s="8" t="s">
        <v>591</v>
      </c>
      <c r="F637" s="8" t="s">
        <v>450</v>
      </c>
      <c r="G637" s="20" t="s">
        <v>432</v>
      </c>
      <c r="H637" s="9">
        <v>5745</v>
      </c>
      <c r="I637" s="9">
        <v>0</v>
      </c>
      <c r="J637" s="21"/>
    </row>
    <row r="638" spans="1:10" ht="21" x14ac:dyDescent="0.3">
      <c r="A638" s="6" t="s">
        <v>473</v>
      </c>
      <c r="B638" s="6" t="s">
        <v>740</v>
      </c>
      <c r="C638" s="6" t="s">
        <v>761</v>
      </c>
      <c r="D638" s="7">
        <v>46105</v>
      </c>
      <c r="E638" s="8" t="s">
        <v>591</v>
      </c>
      <c r="F638" s="8" t="s">
        <v>195</v>
      </c>
      <c r="G638" s="20" t="s">
        <v>433</v>
      </c>
      <c r="H638" s="9">
        <v>3000</v>
      </c>
      <c r="I638" s="9">
        <v>0</v>
      </c>
      <c r="J638" s="21"/>
    </row>
    <row r="639" spans="1:10" ht="21" x14ac:dyDescent="0.3">
      <c r="A639" s="6" t="s">
        <v>473</v>
      </c>
      <c r="B639" s="6" t="s">
        <v>740</v>
      </c>
      <c r="C639" s="6" t="s">
        <v>761</v>
      </c>
      <c r="D639" s="7">
        <v>46107</v>
      </c>
      <c r="E639" s="8" t="s">
        <v>591</v>
      </c>
      <c r="F639" s="8" t="s">
        <v>635</v>
      </c>
      <c r="G639" s="20" t="s">
        <v>435</v>
      </c>
      <c r="H639" s="9">
        <v>1775</v>
      </c>
      <c r="I639" s="9">
        <v>0</v>
      </c>
      <c r="J639" s="21"/>
    </row>
    <row r="640" spans="1:10" ht="21" x14ac:dyDescent="0.3">
      <c r="A640" s="6" t="s">
        <v>473</v>
      </c>
      <c r="B640" s="6" t="s">
        <v>740</v>
      </c>
      <c r="C640" s="6" t="s">
        <v>761</v>
      </c>
      <c r="D640" s="7">
        <v>46107</v>
      </c>
      <c r="E640" s="8" t="s">
        <v>591</v>
      </c>
      <c r="F640" s="8" t="s">
        <v>50</v>
      </c>
      <c r="G640" s="20" t="s">
        <v>436</v>
      </c>
      <c r="H640" s="9">
        <v>1500</v>
      </c>
      <c r="I640" s="9">
        <v>0</v>
      </c>
      <c r="J640" s="21"/>
    </row>
    <row r="641" spans="1:10" ht="21" x14ac:dyDescent="0.3">
      <c r="A641" s="6" t="s">
        <v>473</v>
      </c>
      <c r="B641" s="6" t="s">
        <v>740</v>
      </c>
      <c r="C641" s="6" t="s">
        <v>761</v>
      </c>
      <c r="D641" s="7">
        <v>46110</v>
      </c>
      <c r="E641" s="8" t="s">
        <v>591</v>
      </c>
      <c r="F641" s="8" t="s">
        <v>437</v>
      </c>
      <c r="G641" s="20" t="s">
        <v>489</v>
      </c>
      <c r="H641" s="9">
        <v>4655</v>
      </c>
      <c r="I641" s="9">
        <v>0</v>
      </c>
      <c r="J641" s="21"/>
    </row>
    <row r="642" spans="1:10" ht="21" x14ac:dyDescent="0.3">
      <c r="A642" s="6" t="s">
        <v>473</v>
      </c>
      <c r="B642" s="6" t="s">
        <v>740</v>
      </c>
      <c r="C642" s="6" t="s">
        <v>761</v>
      </c>
      <c r="D642" s="7">
        <v>46110</v>
      </c>
      <c r="E642" s="8" t="s">
        <v>591</v>
      </c>
      <c r="F642" s="8" t="s">
        <v>647</v>
      </c>
      <c r="G642" s="20" t="s">
        <v>468</v>
      </c>
      <c r="H642" s="9">
        <v>150</v>
      </c>
      <c r="I642" s="9">
        <v>0</v>
      </c>
      <c r="J642" s="21"/>
    </row>
    <row r="643" spans="1:10" ht="21" x14ac:dyDescent="0.3">
      <c r="A643" s="6" t="s">
        <v>473</v>
      </c>
      <c r="B643" s="6" t="s">
        <v>740</v>
      </c>
      <c r="C643" s="6" t="s">
        <v>761</v>
      </c>
      <c r="D643" s="7">
        <v>46111</v>
      </c>
      <c r="E643" s="8" t="s">
        <v>591</v>
      </c>
      <c r="F643" s="8" t="s">
        <v>414</v>
      </c>
      <c r="G643" s="20" t="s">
        <v>449</v>
      </c>
      <c r="H643" s="9">
        <v>1850</v>
      </c>
      <c r="I643" s="9">
        <v>0</v>
      </c>
      <c r="J643" s="21"/>
    </row>
    <row r="644" spans="1:10" ht="21" x14ac:dyDescent="0.3">
      <c r="A644" s="6" t="s">
        <v>473</v>
      </c>
      <c r="B644" s="6" t="s">
        <v>740</v>
      </c>
      <c r="C644" s="6" t="s">
        <v>761</v>
      </c>
      <c r="D644" s="7">
        <v>46112</v>
      </c>
      <c r="E644" s="8" t="s">
        <v>591</v>
      </c>
      <c r="F644" s="8" t="s">
        <v>414</v>
      </c>
      <c r="G644" s="20" t="s">
        <v>449</v>
      </c>
      <c r="H644" s="9">
        <v>800</v>
      </c>
      <c r="I644" s="9">
        <v>0</v>
      </c>
      <c r="J644" s="21"/>
    </row>
    <row r="645" spans="1:10" ht="21" x14ac:dyDescent="0.3">
      <c r="A645" s="6" t="s">
        <v>473</v>
      </c>
      <c r="B645" s="6" t="s">
        <v>740</v>
      </c>
      <c r="C645" s="6" t="s">
        <v>761</v>
      </c>
      <c r="D645" s="7">
        <v>46112</v>
      </c>
      <c r="E645" s="8" t="s">
        <v>591</v>
      </c>
      <c r="F645" s="8" t="s">
        <v>647</v>
      </c>
      <c r="G645" s="20" t="s">
        <v>468</v>
      </c>
      <c r="H645" s="9">
        <v>150</v>
      </c>
      <c r="I645" s="9">
        <v>0</v>
      </c>
      <c r="J645" s="21"/>
    </row>
    <row r="646" spans="1:10" ht="21" x14ac:dyDescent="0.3">
      <c r="A646" s="6" t="s">
        <v>473</v>
      </c>
      <c r="B646" s="6" t="s">
        <v>740</v>
      </c>
      <c r="C646" s="6" t="s">
        <v>761</v>
      </c>
      <c r="D646" s="7">
        <v>46116</v>
      </c>
      <c r="E646" s="8" t="s">
        <v>591</v>
      </c>
      <c r="F646" s="8" t="s">
        <v>450</v>
      </c>
      <c r="G646" s="20" t="s">
        <v>489</v>
      </c>
      <c r="H646" s="9">
        <v>3160</v>
      </c>
      <c r="I646" s="9">
        <v>0</v>
      </c>
      <c r="J646" s="21"/>
    </row>
    <row r="647" spans="1:10" ht="21" x14ac:dyDescent="0.3">
      <c r="A647" s="6" t="s">
        <v>473</v>
      </c>
      <c r="B647" s="6" t="s">
        <v>740</v>
      </c>
      <c r="C647" s="6" t="s">
        <v>761</v>
      </c>
      <c r="D647" s="7">
        <v>46116</v>
      </c>
      <c r="E647" s="8" t="s">
        <v>591</v>
      </c>
      <c r="F647" s="8" t="s">
        <v>437</v>
      </c>
      <c r="G647" s="20" t="s">
        <v>490</v>
      </c>
      <c r="H647" s="9">
        <v>9500</v>
      </c>
      <c r="I647" s="9">
        <v>0</v>
      </c>
      <c r="J647" s="21"/>
    </row>
    <row r="648" spans="1:10" ht="21" x14ac:dyDescent="0.3">
      <c r="A648" s="6" t="s">
        <v>473</v>
      </c>
      <c r="B648" s="6" t="s">
        <v>740</v>
      </c>
      <c r="C648" s="6" t="s">
        <v>761</v>
      </c>
      <c r="D648" s="7">
        <v>46117</v>
      </c>
      <c r="E648" s="8" t="s">
        <v>591</v>
      </c>
      <c r="F648" s="8" t="s">
        <v>647</v>
      </c>
      <c r="G648" s="20" t="s">
        <v>491</v>
      </c>
      <c r="H648" s="9">
        <v>100</v>
      </c>
      <c r="I648" s="9">
        <v>0</v>
      </c>
      <c r="J648" s="21"/>
    </row>
    <row r="649" spans="1:10" ht="21" x14ac:dyDescent="0.3">
      <c r="A649" s="6" t="s">
        <v>473</v>
      </c>
      <c r="B649" s="6" t="s">
        <v>740</v>
      </c>
      <c r="C649" s="6" t="s">
        <v>761</v>
      </c>
      <c r="D649" s="7">
        <v>46121</v>
      </c>
      <c r="E649" s="8" t="s">
        <v>591</v>
      </c>
      <c r="F649" s="8" t="s">
        <v>437</v>
      </c>
      <c r="G649" s="20" t="s">
        <v>542</v>
      </c>
      <c r="H649" s="9">
        <v>8000</v>
      </c>
      <c r="I649" s="9">
        <v>0</v>
      </c>
      <c r="J649" s="21"/>
    </row>
    <row r="650" spans="1:10" ht="21" x14ac:dyDescent="0.3">
      <c r="A650" s="6" t="s">
        <v>473</v>
      </c>
      <c r="B650" s="6" t="s">
        <v>740</v>
      </c>
      <c r="C650" s="8" t="s">
        <v>10</v>
      </c>
      <c r="D650" s="7">
        <v>46121</v>
      </c>
      <c r="E650" s="8" t="s">
        <v>10</v>
      </c>
      <c r="F650" s="8" t="s">
        <v>10</v>
      </c>
      <c r="G650" s="20" t="s">
        <v>543</v>
      </c>
      <c r="H650" s="9">
        <v>0</v>
      </c>
      <c r="I650" s="9">
        <v>2250</v>
      </c>
      <c r="J650" s="21"/>
    </row>
    <row r="651" spans="1:10" ht="42" x14ac:dyDescent="0.3">
      <c r="A651" s="6" t="s">
        <v>473</v>
      </c>
      <c r="B651" s="6" t="s">
        <v>740</v>
      </c>
      <c r="C651" s="6" t="s">
        <v>761</v>
      </c>
      <c r="D651" s="7">
        <v>46121</v>
      </c>
      <c r="E651" s="8" t="s">
        <v>591</v>
      </c>
      <c r="F651" s="8" t="s">
        <v>545</v>
      </c>
      <c r="G651" s="20" t="s">
        <v>434</v>
      </c>
      <c r="H651" s="9">
        <v>15000</v>
      </c>
      <c r="I651" s="9">
        <v>0</v>
      </c>
      <c r="J651" s="21"/>
    </row>
    <row r="652" spans="1:10" ht="21" x14ac:dyDescent="0.3">
      <c r="A652" s="6" t="s">
        <v>473</v>
      </c>
      <c r="B652" s="6" t="s">
        <v>740</v>
      </c>
      <c r="C652" s="6" t="s">
        <v>761</v>
      </c>
      <c r="D652" s="7">
        <v>46121</v>
      </c>
      <c r="E652" s="8" t="s">
        <v>591</v>
      </c>
      <c r="F652" s="8" t="s">
        <v>758</v>
      </c>
      <c r="G652" s="20" t="s">
        <v>547</v>
      </c>
      <c r="H652" s="9">
        <v>1500</v>
      </c>
      <c r="I652" s="9">
        <v>0</v>
      </c>
      <c r="J652" s="21"/>
    </row>
    <row r="653" spans="1:10" ht="21" x14ac:dyDescent="0.3">
      <c r="A653" s="6" t="s">
        <v>473</v>
      </c>
      <c r="B653" s="6" t="s">
        <v>740</v>
      </c>
      <c r="C653" s="6" t="s">
        <v>761</v>
      </c>
      <c r="D653" s="7">
        <v>46128</v>
      </c>
      <c r="E653" s="8" t="s">
        <v>591</v>
      </c>
      <c r="F653" s="8" t="s">
        <v>478</v>
      </c>
      <c r="G653" s="20" t="s">
        <v>428</v>
      </c>
      <c r="H653" s="9">
        <v>10000</v>
      </c>
      <c r="I653" s="9">
        <v>0</v>
      </c>
      <c r="J653" s="21"/>
    </row>
    <row r="654" spans="1:10" ht="21" x14ac:dyDescent="0.3">
      <c r="A654" s="6" t="s">
        <v>473</v>
      </c>
      <c r="B654" s="6" t="s">
        <v>740</v>
      </c>
      <c r="C654" s="6" t="s">
        <v>761</v>
      </c>
      <c r="D654" s="7">
        <v>46128</v>
      </c>
      <c r="E654" s="8" t="s">
        <v>591</v>
      </c>
      <c r="F654" s="8" t="s">
        <v>446</v>
      </c>
      <c r="G654" s="20" t="s">
        <v>564</v>
      </c>
      <c r="H654" s="9">
        <v>1600</v>
      </c>
      <c r="I654" s="9">
        <v>0</v>
      </c>
      <c r="J654" s="21"/>
    </row>
    <row r="655" spans="1:10" ht="42" x14ac:dyDescent="0.3">
      <c r="A655" s="6" t="s">
        <v>473</v>
      </c>
      <c r="B655" s="6" t="s">
        <v>740</v>
      </c>
      <c r="C655" s="6" t="s">
        <v>761</v>
      </c>
      <c r="D655" s="7">
        <v>46128</v>
      </c>
      <c r="E655" s="8" t="s">
        <v>591</v>
      </c>
      <c r="F655" s="8" t="s">
        <v>545</v>
      </c>
      <c r="G655" s="20" t="s">
        <v>570</v>
      </c>
      <c r="H655" s="9">
        <v>35000</v>
      </c>
      <c r="I655" s="9">
        <v>0</v>
      </c>
      <c r="J655" s="21"/>
    </row>
    <row r="656" spans="1:10" ht="21" x14ac:dyDescent="0.3">
      <c r="A656" s="6" t="s">
        <v>473</v>
      </c>
      <c r="B656" s="6" t="s">
        <v>740</v>
      </c>
      <c r="C656" s="6" t="s">
        <v>761</v>
      </c>
      <c r="D656" s="7">
        <v>46128</v>
      </c>
      <c r="E656" s="8" t="s">
        <v>591</v>
      </c>
      <c r="F656" s="8" t="s">
        <v>717</v>
      </c>
      <c r="G656" s="20" t="s">
        <v>580</v>
      </c>
      <c r="H656" s="9">
        <v>200</v>
      </c>
      <c r="I656" s="9">
        <v>0</v>
      </c>
      <c r="J656" s="21"/>
    </row>
    <row r="657" spans="1:10" ht="21" x14ac:dyDescent="0.3">
      <c r="A657" s="6" t="s">
        <v>473</v>
      </c>
      <c r="B657" s="6" t="s">
        <v>740</v>
      </c>
      <c r="C657" s="6" t="s">
        <v>761</v>
      </c>
      <c r="D657" s="7">
        <v>46128</v>
      </c>
      <c r="E657" s="8" t="s">
        <v>591</v>
      </c>
      <c r="F657" s="8" t="s">
        <v>582</v>
      </c>
      <c r="G657" s="20" t="s">
        <v>581</v>
      </c>
      <c r="H657" s="9">
        <v>200</v>
      </c>
      <c r="I657" s="9">
        <v>0</v>
      </c>
      <c r="J657" s="21"/>
    </row>
    <row r="658" spans="1:10" ht="21" x14ac:dyDescent="0.3">
      <c r="A658" s="6" t="s">
        <v>473</v>
      </c>
      <c r="B658" s="6" t="s">
        <v>740</v>
      </c>
      <c r="C658" s="6" t="s">
        <v>761</v>
      </c>
      <c r="D658" s="7">
        <v>46133</v>
      </c>
      <c r="E658" s="8" t="s">
        <v>591</v>
      </c>
      <c r="F658" s="8" t="s">
        <v>415</v>
      </c>
      <c r="G658" s="20" t="s">
        <v>584</v>
      </c>
      <c r="H658" s="9">
        <v>100000</v>
      </c>
      <c r="I658" s="9">
        <v>0</v>
      </c>
      <c r="J658" s="21"/>
    </row>
    <row r="659" spans="1:10" ht="21" x14ac:dyDescent="0.3">
      <c r="A659" s="6" t="s">
        <v>473</v>
      </c>
      <c r="B659" s="6" t="s">
        <v>740</v>
      </c>
      <c r="C659" s="6" t="s">
        <v>761</v>
      </c>
      <c r="D659" s="7">
        <v>46139</v>
      </c>
      <c r="E659" s="8" t="s">
        <v>591</v>
      </c>
      <c r="F659" s="8" t="s">
        <v>450</v>
      </c>
      <c r="G659" s="20" t="s">
        <v>601</v>
      </c>
      <c r="H659" s="9">
        <v>2565</v>
      </c>
      <c r="I659" s="9">
        <v>0</v>
      </c>
      <c r="J659" s="21"/>
    </row>
    <row r="660" spans="1:10" ht="42" x14ac:dyDescent="0.3">
      <c r="A660" s="6" t="s">
        <v>473</v>
      </c>
      <c r="B660" s="6" t="s">
        <v>740</v>
      </c>
      <c r="C660" s="6" t="s">
        <v>761</v>
      </c>
      <c r="D660" s="7">
        <v>46139</v>
      </c>
      <c r="E660" s="8" t="s">
        <v>591</v>
      </c>
      <c r="F660" s="8" t="s">
        <v>415</v>
      </c>
      <c r="G660" s="20" t="s">
        <v>603</v>
      </c>
      <c r="H660" s="9">
        <v>7450</v>
      </c>
      <c r="I660" s="9">
        <v>0</v>
      </c>
      <c r="J660" s="21"/>
    </row>
    <row r="661" spans="1:10" ht="21" x14ac:dyDescent="0.3">
      <c r="A661" s="6" t="s">
        <v>473</v>
      </c>
      <c r="B661" s="6" t="s">
        <v>740</v>
      </c>
      <c r="C661" s="6" t="s">
        <v>761</v>
      </c>
      <c r="D661" s="7">
        <v>46154</v>
      </c>
      <c r="E661" s="8" t="s">
        <v>591</v>
      </c>
      <c r="F661" s="8" t="s">
        <v>478</v>
      </c>
      <c r="G661" s="20" t="s">
        <v>650</v>
      </c>
      <c r="H661" s="9">
        <v>7000</v>
      </c>
      <c r="I661" s="9">
        <v>0</v>
      </c>
      <c r="J661" s="21"/>
    </row>
    <row r="662" spans="1:10" ht="21" x14ac:dyDescent="0.3">
      <c r="A662" s="6" t="s">
        <v>473</v>
      </c>
      <c r="B662" s="6" t="s">
        <v>740</v>
      </c>
      <c r="C662" s="6" t="s">
        <v>761</v>
      </c>
      <c r="D662" s="7">
        <v>46160</v>
      </c>
      <c r="E662" s="8" t="s">
        <v>591</v>
      </c>
      <c r="F662" s="8" t="s">
        <v>582</v>
      </c>
      <c r="G662" s="20" t="s">
        <v>676</v>
      </c>
      <c r="H662" s="9">
        <v>200</v>
      </c>
      <c r="I662" s="9">
        <v>0</v>
      </c>
      <c r="J662" s="21"/>
    </row>
    <row r="663" spans="1:10" ht="42" x14ac:dyDescent="0.3">
      <c r="A663" s="6" t="s">
        <v>473</v>
      </c>
      <c r="B663" s="6" t="s">
        <v>740</v>
      </c>
      <c r="C663" s="6" t="s">
        <v>761</v>
      </c>
      <c r="D663" s="7">
        <v>46165</v>
      </c>
      <c r="E663" s="8" t="s">
        <v>591</v>
      </c>
      <c r="F663" s="8" t="s">
        <v>450</v>
      </c>
      <c r="G663" s="20" t="s">
        <v>706</v>
      </c>
      <c r="H663" s="9">
        <v>12600</v>
      </c>
      <c r="I663" s="9">
        <v>0</v>
      </c>
      <c r="J663" s="21"/>
    </row>
    <row r="664" spans="1:10" ht="21" x14ac:dyDescent="0.3">
      <c r="A664" s="6" t="s">
        <v>473</v>
      </c>
      <c r="B664" s="6" t="s">
        <v>740</v>
      </c>
      <c r="C664" s="6" t="s">
        <v>761</v>
      </c>
      <c r="D664" s="7">
        <v>46166</v>
      </c>
      <c r="E664" s="8" t="s">
        <v>591</v>
      </c>
      <c r="F664" s="8" t="s">
        <v>437</v>
      </c>
      <c r="G664" s="20" t="s">
        <v>735</v>
      </c>
      <c r="H664" s="9">
        <v>4000</v>
      </c>
      <c r="I664" s="9">
        <v>0</v>
      </c>
      <c r="J664" s="21"/>
    </row>
    <row r="665" spans="1:10" ht="21" x14ac:dyDescent="0.3">
      <c r="A665" s="6" t="s">
        <v>473</v>
      </c>
      <c r="B665" s="6" t="s">
        <v>740</v>
      </c>
      <c r="C665" s="6" t="s">
        <v>761</v>
      </c>
      <c r="D665" s="7">
        <v>46166</v>
      </c>
      <c r="E665" s="8" t="s">
        <v>591</v>
      </c>
      <c r="F665" s="8" t="s">
        <v>464</v>
      </c>
      <c r="G665" s="20" t="s">
        <v>736</v>
      </c>
      <c r="H665" s="9">
        <v>100</v>
      </c>
      <c r="I665" s="9">
        <v>0</v>
      </c>
      <c r="J665" s="21"/>
    </row>
    <row r="666" spans="1:10" ht="21" x14ac:dyDescent="0.3">
      <c r="A666" s="6" t="s">
        <v>473</v>
      </c>
      <c r="B666" s="6" t="s">
        <v>740</v>
      </c>
      <c r="C666" s="6" t="s">
        <v>761</v>
      </c>
      <c r="D666" s="7">
        <v>46166</v>
      </c>
      <c r="E666" s="8" t="s">
        <v>591</v>
      </c>
      <c r="F666" s="8" t="s">
        <v>450</v>
      </c>
      <c r="G666" s="20" t="s">
        <v>707</v>
      </c>
      <c r="H666" s="9">
        <v>470</v>
      </c>
      <c r="I666" s="9">
        <v>0</v>
      </c>
      <c r="J666" s="21"/>
    </row>
    <row r="667" spans="1:10" ht="21" x14ac:dyDescent="0.3">
      <c r="A667" s="6" t="s">
        <v>473</v>
      </c>
      <c r="B667" s="6" t="s">
        <v>740</v>
      </c>
      <c r="C667" s="6" t="s">
        <v>762</v>
      </c>
      <c r="D667" s="7">
        <v>46113</v>
      </c>
      <c r="E667" s="8" t="s">
        <v>342</v>
      </c>
      <c r="F667" s="8" t="s">
        <v>342</v>
      </c>
      <c r="G667" s="20" t="s">
        <v>474</v>
      </c>
      <c r="H667" s="9">
        <f>10%*SUM(H605:H666)</f>
        <v>44178.9</v>
      </c>
      <c r="I667" s="9">
        <v>0</v>
      </c>
      <c r="J667" s="21"/>
    </row>
    <row r="668" spans="1:10" ht="21" x14ac:dyDescent="0.3">
      <c r="A668" s="10" t="s">
        <v>741</v>
      </c>
      <c r="B668" s="10" t="s">
        <v>742</v>
      </c>
      <c r="C668" s="8" t="s">
        <v>10</v>
      </c>
      <c r="D668" s="7">
        <v>46114</v>
      </c>
      <c r="E668" s="8" t="s">
        <v>10</v>
      </c>
      <c r="F668" s="8" t="s">
        <v>10</v>
      </c>
      <c r="G668" s="20" t="s">
        <v>481</v>
      </c>
      <c r="H668" s="9">
        <v>0</v>
      </c>
      <c r="I668" s="9">
        <v>100000</v>
      </c>
      <c r="J668" s="21"/>
    </row>
    <row r="669" spans="1:10" ht="21" x14ac:dyDescent="0.3">
      <c r="A669" s="10" t="s">
        <v>741</v>
      </c>
      <c r="B669" s="10" t="s">
        <v>742</v>
      </c>
      <c r="C669" s="8" t="s">
        <v>10</v>
      </c>
      <c r="D669" s="7">
        <v>46154</v>
      </c>
      <c r="E669" s="8" t="s">
        <v>10</v>
      </c>
      <c r="F669" s="8" t="s">
        <v>10</v>
      </c>
      <c r="G669" s="20" t="s">
        <v>481</v>
      </c>
      <c r="H669" s="9">
        <v>0</v>
      </c>
      <c r="I669" s="9">
        <v>100000</v>
      </c>
      <c r="J669" s="21"/>
    </row>
    <row r="670" spans="1:10" ht="21" x14ac:dyDescent="0.3">
      <c r="A670" s="10" t="s">
        <v>741</v>
      </c>
      <c r="B670" s="10" t="s">
        <v>742</v>
      </c>
      <c r="C670" s="6" t="s">
        <v>761</v>
      </c>
      <c r="D670" s="7">
        <v>46143</v>
      </c>
      <c r="E670" s="8" t="s">
        <v>591</v>
      </c>
      <c r="F670" s="8" t="s">
        <v>94</v>
      </c>
      <c r="G670" s="20" t="s">
        <v>616</v>
      </c>
      <c r="H670" s="9">
        <v>1200</v>
      </c>
      <c r="I670" s="9">
        <v>0</v>
      </c>
      <c r="J670" s="21"/>
    </row>
    <row r="671" spans="1:10" ht="21" x14ac:dyDescent="0.3">
      <c r="A671" s="10" t="s">
        <v>741</v>
      </c>
      <c r="B671" s="10" t="s">
        <v>742</v>
      </c>
      <c r="C671" s="6" t="s">
        <v>761</v>
      </c>
      <c r="D671" s="7">
        <v>46148</v>
      </c>
      <c r="E671" s="8" t="s">
        <v>591</v>
      </c>
      <c r="F671" s="8" t="s">
        <v>426</v>
      </c>
      <c r="G671" s="20" t="s">
        <v>620</v>
      </c>
      <c r="H671" s="9">
        <v>2112</v>
      </c>
      <c r="I671" s="9">
        <v>0</v>
      </c>
      <c r="J671" s="21"/>
    </row>
    <row r="672" spans="1:10" ht="21" x14ac:dyDescent="0.3">
      <c r="A672" s="10" t="s">
        <v>741</v>
      </c>
      <c r="B672" s="10" t="s">
        <v>742</v>
      </c>
      <c r="C672" s="6" t="s">
        <v>761</v>
      </c>
      <c r="D672" s="7">
        <v>46148</v>
      </c>
      <c r="E672" s="8" t="s">
        <v>591</v>
      </c>
      <c r="F672" s="8" t="s">
        <v>647</v>
      </c>
      <c r="G672" s="20" t="s">
        <v>624</v>
      </c>
      <c r="H672" s="9">
        <v>150</v>
      </c>
      <c r="I672" s="9">
        <v>0</v>
      </c>
      <c r="J672" s="21"/>
    </row>
    <row r="673" spans="1:10" ht="42" x14ac:dyDescent="0.3">
      <c r="A673" s="10" t="s">
        <v>741</v>
      </c>
      <c r="B673" s="10" t="s">
        <v>742</v>
      </c>
      <c r="C673" s="6" t="s">
        <v>761</v>
      </c>
      <c r="D673" s="7">
        <v>46148</v>
      </c>
      <c r="E673" s="8" t="s">
        <v>591</v>
      </c>
      <c r="F673" s="8" t="s">
        <v>94</v>
      </c>
      <c r="G673" s="20" t="s">
        <v>626</v>
      </c>
      <c r="H673" s="9">
        <v>2000</v>
      </c>
      <c r="I673" s="9">
        <v>0</v>
      </c>
      <c r="J673" s="21"/>
    </row>
    <row r="674" spans="1:10" ht="21" x14ac:dyDescent="0.3">
      <c r="A674" s="10" t="s">
        <v>741</v>
      </c>
      <c r="B674" s="10" t="s">
        <v>742</v>
      </c>
      <c r="C674" s="6" t="s">
        <v>761</v>
      </c>
      <c r="D674" s="7">
        <v>46148</v>
      </c>
      <c r="E674" s="8" t="s">
        <v>591</v>
      </c>
      <c r="F674" s="8" t="s">
        <v>414</v>
      </c>
      <c r="G674" s="20" t="s">
        <v>625</v>
      </c>
      <c r="H674" s="9">
        <v>2075</v>
      </c>
      <c r="I674" s="9">
        <v>0</v>
      </c>
      <c r="J674" s="21"/>
    </row>
    <row r="675" spans="1:10" ht="21" x14ac:dyDescent="0.3">
      <c r="A675" s="10" t="s">
        <v>741</v>
      </c>
      <c r="B675" s="10" t="s">
        <v>742</v>
      </c>
      <c r="C675" s="6" t="s">
        <v>761</v>
      </c>
      <c r="D675" s="7">
        <v>46148</v>
      </c>
      <c r="E675" s="8" t="s">
        <v>591</v>
      </c>
      <c r="F675" s="8" t="s">
        <v>464</v>
      </c>
      <c r="G675" s="20" t="s">
        <v>628</v>
      </c>
      <c r="H675" s="9">
        <v>1000</v>
      </c>
      <c r="I675" s="9">
        <v>0</v>
      </c>
      <c r="J675" s="21"/>
    </row>
    <row r="676" spans="1:10" ht="21" x14ac:dyDescent="0.3">
      <c r="A676" s="10" t="s">
        <v>741</v>
      </c>
      <c r="B676" s="10" t="s">
        <v>742</v>
      </c>
      <c r="C676" s="6" t="s">
        <v>761</v>
      </c>
      <c r="D676" s="7">
        <v>46148</v>
      </c>
      <c r="E676" s="8" t="s">
        <v>591</v>
      </c>
      <c r="F676" s="8" t="s">
        <v>414</v>
      </c>
      <c r="G676" s="20" t="s">
        <v>627</v>
      </c>
      <c r="H676" s="9">
        <v>800</v>
      </c>
      <c r="I676" s="9">
        <v>0</v>
      </c>
      <c r="J676" s="21"/>
    </row>
    <row r="677" spans="1:10" ht="21" x14ac:dyDescent="0.3">
      <c r="A677" s="10" t="s">
        <v>741</v>
      </c>
      <c r="B677" s="10" t="s">
        <v>742</v>
      </c>
      <c r="C677" s="6" t="s">
        <v>761</v>
      </c>
      <c r="D677" s="7">
        <v>46148</v>
      </c>
      <c r="E677" s="8" t="s">
        <v>591</v>
      </c>
      <c r="F677" s="8" t="s">
        <v>426</v>
      </c>
      <c r="G677" s="20" t="s">
        <v>629</v>
      </c>
      <c r="H677" s="9">
        <v>500</v>
      </c>
      <c r="I677" s="9">
        <v>0</v>
      </c>
      <c r="J677" s="21"/>
    </row>
    <row r="678" spans="1:10" ht="21" x14ac:dyDescent="0.3">
      <c r="A678" s="10" t="s">
        <v>741</v>
      </c>
      <c r="B678" s="10" t="s">
        <v>742</v>
      </c>
      <c r="C678" s="6" t="s">
        <v>761</v>
      </c>
      <c r="D678" s="7">
        <v>46151</v>
      </c>
      <c r="E678" s="8" t="s">
        <v>591</v>
      </c>
      <c r="F678" s="8" t="s">
        <v>717</v>
      </c>
      <c r="G678" s="20" t="s">
        <v>634</v>
      </c>
      <c r="H678" s="9">
        <v>2600</v>
      </c>
      <c r="I678" s="9">
        <v>0</v>
      </c>
      <c r="J678" s="21"/>
    </row>
    <row r="679" spans="1:10" ht="21" x14ac:dyDescent="0.3">
      <c r="A679" s="10" t="s">
        <v>741</v>
      </c>
      <c r="B679" s="10" t="s">
        <v>742</v>
      </c>
      <c r="C679" s="6" t="s">
        <v>761</v>
      </c>
      <c r="D679" s="7">
        <v>46151</v>
      </c>
      <c r="E679" s="8" t="s">
        <v>591</v>
      </c>
      <c r="F679" s="8" t="s">
        <v>635</v>
      </c>
      <c r="G679" s="20" t="s">
        <v>636</v>
      </c>
      <c r="H679" s="9">
        <v>100</v>
      </c>
      <c r="I679" s="9">
        <v>0</v>
      </c>
      <c r="J679" s="21"/>
    </row>
    <row r="680" spans="1:10" ht="21" x14ac:dyDescent="0.3">
      <c r="A680" s="10" t="s">
        <v>741</v>
      </c>
      <c r="B680" s="10" t="s">
        <v>742</v>
      </c>
      <c r="C680" s="6" t="s">
        <v>761</v>
      </c>
      <c r="D680" s="7">
        <v>46151</v>
      </c>
      <c r="E680" s="8" t="s">
        <v>591</v>
      </c>
      <c r="F680" s="8" t="s">
        <v>50</v>
      </c>
      <c r="G680" s="20" t="s">
        <v>637</v>
      </c>
      <c r="H680" s="9">
        <v>250</v>
      </c>
      <c r="I680" s="9">
        <v>0</v>
      </c>
      <c r="J680" s="21"/>
    </row>
    <row r="681" spans="1:10" ht="21" x14ac:dyDescent="0.3">
      <c r="A681" s="10" t="s">
        <v>741</v>
      </c>
      <c r="B681" s="10" t="s">
        <v>742</v>
      </c>
      <c r="C681" s="6" t="s">
        <v>761</v>
      </c>
      <c r="D681" s="7">
        <v>46151</v>
      </c>
      <c r="E681" s="8" t="s">
        <v>591</v>
      </c>
      <c r="F681" s="8" t="s">
        <v>25</v>
      </c>
      <c r="G681" s="20" t="s">
        <v>638</v>
      </c>
      <c r="H681" s="9">
        <v>200</v>
      </c>
      <c r="I681" s="9">
        <v>0</v>
      </c>
      <c r="J681" s="21"/>
    </row>
    <row r="682" spans="1:10" ht="21" x14ac:dyDescent="0.3">
      <c r="A682" s="10" t="s">
        <v>741</v>
      </c>
      <c r="B682" s="10" t="s">
        <v>742</v>
      </c>
      <c r="C682" s="6" t="s">
        <v>761</v>
      </c>
      <c r="D682" s="7">
        <v>46152</v>
      </c>
      <c r="E682" s="8" t="s">
        <v>591</v>
      </c>
      <c r="F682" s="8" t="s">
        <v>717</v>
      </c>
      <c r="G682" s="20" t="s">
        <v>669</v>
      </c>
      <c r="H682" s="9">
        <v>700</v>
      </c>
      <c r="I682" s="9">
        <v>0</v>
      </c>
      <c r="J682" s="21"/>
    </row>
    <row r="683" spans="1:10" ht="21" x14ac:dyDescent="0.3">
      <c r="A683" s="10" t="s">
        <v>741</v>
      </c>
      <c r="B683" s="10" t="s">
        <v>742</v>
      </c>
      <c r="C683" s="6" t="s">
        <v>761</v>
      </c>
      <c r="D683" s="7">
        <v>46154</v>
      </c>
      <c r="E683" s="8" t="s">
        <v>591</v>
      </c>
      <c r="F683" s="8" t="s">
        <v>727</v>
      </c>
      <c r="G683" s="20" t="s">
        <v>654</v>
      </c>
      <c r="H683" s="9">
        <v>1200</v>
      </c>
      <c r="I683" s="9">
        <v>0</v>
      </c>
      <c r="J683" s="21"/>
    </row>
    <row r="684" spans="1:10" ht="21" x14ac:dyDescent="0.3">
      <c r="A684" s="10" t="s">
        <v>741</v>
      </c>
      <c r="B684" s="10" t="s">
        <v>742</v>
      </c>
      <c r="C684" s="6" t="s">
        <v>761</v>
      </c>
      <c r="D684" s="7">
        <v>46154</v>
      </c>
      <c r="E684" s="8" t="s">
        <v>591</v>
      </c>
      <c r="F684" s="8" t="s">
        <v>653</v>
      </c>
      <c r="G684" s="20" t="s">
        <v>678</v>
      </c>
      <c r="H684" s="9">
        <v>2800</v>
      </c>
      <c r="I684" s="9">
        <v>0</v>
      </c>
      <c r="J684" s="21"/>
    </row>
    <row r="685" spans="1:10" ht="21" x14ac:dyDescent="0.3">
      <c r="A685" s="10" t="s">
        <v>741</v>
      </c>
      <c r="B685" s="10" t="s">
        <v>742</v>
      </c>
      <c r="C685" s="6" t="s">
        <v>761</v>
      </c>
      <c r="D685" s="7">
        <v>46154</v>
      </c>
      <c r="E685" s="8" t="s">
        <v>591</v>
      </c>
      <c r="F685" s="8" t="s">
        <v>464</v>
      </c>
      <c r="G685" s="20" t="s">
        <v>681</v>
      </c>
      <c r="H685" s="9">
        <v>750</v>
      </c>
      <c r="I685" s="9">
        <v>0</v>
      </c>
      <c r="J685" s="21"/>
    </row>
    <row r="686" spans="1:10" ht="21" x14ac:dyDescent="0.3">
      <c r="A686" s="10" t="s">
        <v>741</v>
      </c>
      <c r="B686" s="10" t="s">
        <v>742</v>
      </c>
      <c r="C686" s="6" t="s">
        <v>761</v>
      </c>
      <c r="D686" s="7">
        <v>46154</v>
      </c>
      <c r="E686" s="8" t="s">
        <v>591</v>
      </c>
      <c r="F686" s="8" t="s">
        <v>426</v>
      </c>
      <c r="G686" s="20" t="s">
        <v>659</v>
      </c>
      <c r="H686" s="9">
        <v>2112</v>
      </c>
      <c r="I686" s="9">
        <v>0</v>
      </c>
      <c r="J686" s="21"/>
    </row>
    <row r="687" spans="1:10" ht="21" x14ac:dyDescent="0.3">
      <c r="A687" s="10" t="s">
        <v>741</v>
      </c>
      <c r="B687" s="10" t="s">
        <v>742</v>
      </c>
      <c r="C687" s="6" t="s">
        <v>761</v>
      </c>
      <c r="D687" s="7">
        <v>46157</v>
      </c>
      <c r="E687" s="8" t="s">
        <v>591</v>
      </c>
      <c r="F687" s="8" t="s">
        <v>751</v>
      </c>
      <c r="G687" s="20" t="s">
        <v>668</v>
      </c>
      <c r="H687" s="9">
        <v>300</v>
      </c>
      <c r="I687" s="9">
        <v>0</v>
      </c>
      <c r="J687" s="21"/>
    </row>
    <row r="688" spans="1:10" ht="21" x14ac:dyDescent="0.3">
      <c r="A688" s="10" t="s">
        <v>741</v>
      </c>
      <c r="B688" s="10" t="s">
        <v>742</v>
      </c>
      <c r="C688" s="6" t="s">
        <v>761</v>
      </c>
      <c r="D688" s="7">
        <v>46157</v>
      </c>
      <c r="E688" s="8" t="s">
        <v>591</v>
      </c>
      <c r="F688" s="8" t="s">
        <v>717</v>
      </c>
      <c r="G688" s="20" t="s">
        <v>669</v>
      </c>
      <c r="H688" s="9">
        <v>700</v>
      </c>
      <c r="I688" s="9">
        <v>0</v>
      </c>
      <c r="J688" s="21"/>
    </row>
    <row r="689" spans="1:10" ht="21" x14ac:dyDescent="0.3">
      <c r="A689" s="10" t="s">
        <v>741</v>
      </c>
      <c r="B689" s="10" t="s">
        <v>742</v>
      </c>
      <c r="C689" s="6" t="s">
        <v>761</v>
      </c>
      <c r="D689" s="7">
        <v>46157</v>
      </c>
      <c r="E689" s="8" t="s">
        <v>591</v>
      </c>
      <c r="F689" s="8" t="s">
        <v>464</v>
      </c>
      <c r="G689" s="20" t="s">
        <v>670</v>
      </c>
      <c r="H689" s="9">
        <v>800</v>
      </c>
      <c r="I689" s="9">
        <v>0</v>
      </c>
      <c r="J689" s="21"/>
    </row>
    <row r="690" spans="1:10" ht="21" x14ac:dyDescent="0.3">
      <c r="A690" s="10" t="s">
        <v>741</v>
      </c>
      <c r="B690" s="10" t="s">
        <v>742</v>
      </c>
      <c r="C690" s="6" t="s">
        <v>761</v>
      </c>
      <c r="D690" s="7">
        <v>46158</v>
      </c>
      <c r="E690" s="8" t="s">
        <v>591</v>
      </c>
      <c r="F690" s="8" t="s">
        <v>759</v>
      </c>
      <c r="G690" s="20" t="s">
        <v>671</v>
      </c>
      <c r="H690" s="9">
        <v>6000</v>
      </c>
      <c r="I690" s="9">
        <v>0</v>
      </c>
      <c r="J690" s="21"/>
    </row>
    <row r="691" spans="1:10" ht="21" x14ac:dyDescent="0.3">
      <c r="A691" s="10" t="s">
        <v>741</v>
      </c>
      <c r="B691" s="10" t="s">
        <v>742</v>
      </c>
      <c r="C691" s="6" t="s">
        <v>761</v>
      </c>
      <c r="D691" s="7">
        <v>46158</v>
      </c>
      <c r="E691" s="8" t="s">
        <v>591</v>
      </c>
      <c r="F691" s="8" t="s">
        <v>759</v>
      </c>
      <c r="G691" s="20" t="s">
        <v>677</v>
      </c>
      <c r="H691" s="9">
        <v>1200</v>
      </c>
      <c r="I691" s="9">
        <v>0</v>
      </c>
      <c r="J691" s="21"/>
    </row>
    <row r="692" spans="1:10" ht="21" x14ac:dyDescent="0.3">
      <c r="A692" s="10" t="s">
        <v>741</v>
      </c>
      <c r="B692" s="10" t="s">
        <v>742</v>
      </c>
      <c r="C692" s="6" t="s">
        <v>761</v>
      </c>
      <c r="D692" s="7">
        <v>46158</v>
      </c>
      <c r="E692" s="8" t="s">
        <v>591</v>
      </c>
      <c r="F692" s="8" t="s">
        <v>717</v>
      </c>
      <c r="G692" s="20" t="s">
        <v>669</v>
      </c>
      <c r="H692" s="9">
        <v>700</v>
      </c>
      <c r="I692" s="9">
        <v>0</v>
      </c>
      <c r="J692" s="21"/>
    </row>
    <row r="693" spans="1:10" ht="21" x14ac:dyDescent="0.3">
      <c r="A693" s="10" t="s">
        <v>741</v>
      </c>
      <c r="B693" s="10" t="s">
        <v>742</v>
      </c>
      <c r="C693" s="6" t="s">
        <v>761</v>
      </c>
      <c r="D693" s="7">
        <v>46158</v>
      </c>
      <c r="E693" s="8" t="s">
        <v>591</v>
      </c>
      <c r="F693" s="8" t="s">
        <v>546</v>
      </c>
      <c r="G693" s="20" t="s">
        <v>680</v>
      </c>
      <c r="H693" s="9">
        <v>100000</v>
      </c>
      <c r="I693" s="9">
        <v>0</v>
      </c>
      <c r="J693" s="21"/>
    </row>
    <row r="694" spans="1:10" ht="21" x14ac:dyDescent="0.3">
      <c r="A694" s="10" t="s">
        <v>741</v>
      </c>
      <c r="B694" s="10" t="s">
        <v>742</v>
      </c>
      <c r="C694" s="6" t="s">
        <v>761</v>
      </c>
      <c r="D694" s="7">
        <v>46160</v>
      </c>
      <c r="E694" s="8" t="s">
        <v>591</v>
      </c>
      <c r="F694" s="8" t="s">
        <v>725</v>
      </c>
      <c r="G694" s="20" t="s">
        <v>679</v>
      </c>
      <c r="H694" s="9">
        <v>890</v>
      </c>
      <c r="I694" s="9">
        <v>0</v>
      </c>
      <c r="J694" s="21"/>
    </row>
    <row r="695" spans="1:10" ht="21" x14ac:dyDescent="0.3">
      <c r="A695" s="10" t="s">
        <v>741</v>
      </c>
      <c r="B695" s="10" t="s">
        <v>742</v>
      </c>
      <c r="C695" s="6" t="s">
        <v>761</v>
      </c>
      <c r="D695" s="7">
        <v>46160</v>
      </c>
      <c r="E695" s="8" t="s">
        <v>591</v>
      </c>
      <c r="F695" s="8" t="s">
        <v>717</v>
      </c>
      <c r="G695" s="20" t="s">
        <v>669</v>
      </c>
      <c r="H695" s="9">
        <v>700</v>
      </c>
      <c r="I695" s="9">
        <v>0</v>
      </c>
      <c r="J695" s="21"/>
    </row>
    <row r="696" spans="1:10" ht="21" x14ac:dyDescent="0.3">
      <c r="A696" s="10" t="s">
        <v>741</v>
      </c>
      <c r="B696" s="10" t="s">
        <v>742</v>
      </c>
      <c r="C696" s="6" t="s">
        <v>761</v>
      </c>
      <c r="D696" s="7">
        <v>46167</v>
      </c>
      <c r="E696" s="8" t="s">
        <v>591</v>
      </c>
      <c r="F696" s="8" t="s">
        <v>635</v>
      </c>
      <c r="G696" s="20" t="s">
        <v>708</v>
      </c>
      <c r="H696" s="9">
        <v>3166</v>
      </c>
      <c r="I696" s="9">
        <v>0</v>
      </c>
      <c r="J696" s="21"/>
    </row>
    <row r="697" spans="1:10" ht="42" x14ac:dyDescent="0.3">
      <c r="A697" s="10" t="s">
        <v>741</v>
      </c>
      <c r="B697" s="10" t="s">
        <v>742</v>
      </c>
      <c r="C697" s="6" t="s">
        <v>761</v>
      </c>
      <c r="D697" s="7">
        <v>46167</v>
      </c>
      <c r="E697" s="8" t="s">
        <v>591</v>
      </c>
      <c r="F697" s="8" t="s">
        <v>653</v>
      </c>
      <c r="G697" s="20" t="s">
        <v>729</v>
      </c>
      <c r="H697" s="9">
        <v>1850</v>
      </c>
      <c r="I697" s="9">
        <v>0</v>
      </c>
      <c r="J697" s="21"/>
    </row>
    <row r="698" spans="1:10" ht="42" x14ac:dyDescent="0.3">
      <c r="A698" s="10" t="s">
        <v>741</v>
      </c>
      <c r="B698" s="10" t="s">
        <v>742</v>
      </c>
      <c r="C698" s="6" t="s">
        <v>761</v>
      </c>
      <c r="D698" s="7">
        <v>46167</v>
      </c>
      <c r="E698" s="8" t="s">
        <v>591</v>
      </c>
      <c r="F698" s="8" t="s">
        <v>751</v>
      </c>
      <c r="G698" s="20" t="s">
        <v>730</v>
      </c>
      <c r="H698" s="9">
        <v>1000</v>
      </c>
      <c r="I698" s="9">
        <v>0</v>
      </c>
      <c r="J698" s="21"/>
    </row>
    <row r="699" spans="1:10" ht="21" x14ac:dyDescent="0.3">
      <c r="A699" s="10" t="s">
        <v>741</v>
      </c>
      <c r="B699" s="10" t="s">
        <v>742</v>
      </c>
      <c r="C699" s="6" t="s">
        <v>761</v>
      </c>
      <c r="D699" s="7">
        <v>46167</v>
      </c>
      <c r="E699" s="8" t="s">
        <v>591</v>
      </c>
      <c r="F699" s="8" t="s">
        <v>727</v>
      </c>
      <c r="G699" s="20" t="s">
        <v>731</v>
      </c>
      <c r="H699" s="9">
        <v>1000</v>
      </c>
      <c r="I699" s="9">
        <v>0</v>
      </c>
      <c r="J699" s="21"/>
    </row>
    <row r="700" spans="1:10" ht="21" x14ac:dyDescent="0.3">
      <c r="A700" s="10" t="s">
        <v>741</v>
      </c>
      <c r="B700" s="10" t="s">
        <v>742</v>
      </c>
      <c r="C700" s="6" t="s">
        <v>761</v>
      </c>
      <c r="D700" s="7">
        <v>46167</v>
      </c>
      <c r="E700" s="8" t="s">
        <v>591</v>
      </c>
      <c r="F700" s="8" t="s">
        <v>759</v>
      </c>
      <c r="G700" s="20" t="s">
        <v>732</v>
      </c>
      <c r="H700" s="9">
        <v>700</v>
      </c>
      <c r="I700" s="9">
        <v>0</v>
      </c>
      <c r="J700" s="21"/>
    </row>
    <row r="701" spans="1:10" ht="21" x14ac:dyDescent="0.3">
      <c r="A701" s="10" t="s">
        <v>741</v>
      </c>
      <c r="B701" s="10" t="s">
        <v>742</v>
      </c>
      <c r="C701" s="6" t="s">
        <v>761</v>
      </c>
      <c r="D701" s="7">
        <v>46167</v>
      </c>
      <c r="E701" s="8" t="s">
        <v>591</v>
      </c>
      <c r="F701" s="8" t="s">
        <v>717</v>
      </c>
      <c r="G701" s="20" t="s">
        <v>737</v>
      </c>
      <c r="H701" s="9">
        <v>200</v>
      </c>
      <c r="I701" s="9">
        <v>0</v>
      </c>
      <c r="J701" s="21"/>
    </row>
    <row r="702" spans="1:10" ht="21" x14ac:dyDescent="0.3">
      <c r="A702" s="10" t="s">
        <v>741</v>
      </c>
      <c r="B702" s="10" t="s">
        <v>743</v>
      </c>
      <c r="C702" s="8" t="s">
        <v>10</v>
      </c>
      <c r="D702" s="7">
        <v>46113</v>
      </c>
      <c r="E702" s="8" t="s">
        <v>10</v>
      </c>
      <c r="F702" s="8" t="s">
        <v>10</v>
      </c>
      <c r="G702" s="20" t="s">
        <v>690</v>
      </c>
      <c r="H702" s="9">
        <v>0</v>
      </c>
      <c r="I702" s="9">
        <v>36000</v>
      </c>
      <c r="J702" s="21"/>
    </row>
    <row r="703" spans="1:10" ht="21" x14ac:dyDescent="0.3">
      <c r="A703" s="10" t="s">
        <v>741</v>
      </c>
      <c r="B703" s="10" t="s">
        <v>743</v>
      </c>
      <c r="C703" s="6" t="s">
        <v>761</v>
      </c>
      <c r="D703" s="7">
        <v>46115</v>
      </c>
      <c r="E703" s="8" t="s">
        <v>591</v>
      </c>
      <c r="F703" s="8" t="s">
        <v>546</v>
      </c>
      <c r="G703" s="20" t="s">
        <v>571</v>
      </c>
      <c r="H703" s="9">
        <v>36000</v>
      </c>
      <c r="I703" s="9">
        <v>0</v>
      </c>
      <c r="J703" s="21"/>
    </row>
    <row r="704" spans="1:10" ht="21" x14ac:dyDescent="0.3">
      <c r="A704" s="10" t="s">
        <v>741</v>
      </c>
      <c r="B704" s="10" t="s">
        <v>743</v>
      </c>
      <c r="C704" s="8" t="s">
        <v>10</v>
      </c>
      <c r="D704" s="7">
        <v>46142</v>
      </c>
      <c r="E704" s="8" t="s">
        <v>10</v>
      </c>
      <c r="F704" s="8" t="s">
        <v>10</v>
      </c>
      <c r="G704" s="20" t="s">
        <v>691</v>
      </c>
      <c r="H704" s="9">
        <v>0</v>
      </c>
      <c r="I704" s="9">
        <v>12000</v>
      </c>
      <c r="J704" s="21"/>
    </row>
    <row r="705" spans="1:10" ht="21" x14ac:dyDescent="0.3">
      <c r="A705" s="10" t="s">
        <v>741</v>
      </c>
      <c r="B705" s="10" t="s">
        <v>743</v>
      </c>
      <c r="C705" s="6" t="s">
        <v>761</v>
      </c>
      <c r="D705" s="7" t="s">
        <v>695</v>
      </c>
      <c r="E705" s="8" t="s">
        <v>591</v>
      </c>
      <c r="F705" s="8" t="s">
        <v>546</v>
      </c>
      <c r="G705" s="20" t="s">
        <v>571</v>
      </c>
      <c r="H705" s="9">
        <v>44000</v>
      </c>
      <c r="I705" s="9">
        <v>0</v>
      </c>
      <c r="J705" s="21"/>
    </row>
    <row r="706" spans="1:10" ht="21" x14ac:dyDescent="0.3">
      <c r="A706" s="11" t="s">
        <v>744</v>
      </c>
      <c r="B706" s="11" t="s">
        <v>745</v>
      </c>
      <c r="C706" s="8" t="s">
        <v>10</v>
      </c>
      <c r="D706" s="7">
        <v>46114</v>
      </c>
      <c r="E706" s="8" t="s">
        <v>10</v>
      </c>
      <c r="F706" s="8" t="s">
        <v>10</v>
      </c>
      <c r="G706" s="20" t="s">
        <v>552</v>
      </c>
      <c r="H706" s="9">
        <v>0</v>
      </c>
      <c r="I706" s="9">
        <v>100000</v>
      </c>
      <c r="J706" s="21"/>
    </row>
    <row r="707" spans="1:10" ht="21" x14ac:dyDescent="0.3">
      <c r="A707" s="11" t="s">
        <v>744</v>
      </c>
      <c r="B707" s="11" t="s">
        <v>745</v>
      </c>
      <c r="C707" s="8" t="s">
        <v>10</v>
      </c>
      <c r="D707" s="7">
        <v>46149</v>
      </c>
      <c r="E707" s="8" t="s">
        <v>10</v>
      </c>
      <c r="F707" s="8" t="s">
        <v>10</v>
      </c>
      <c r="G707" s="20" t="s">
        <v>618</v>
      </c>
      <c r="H707" s="9">
        <v>0</v>
      </c>
      <c r="I707" s="9">
        <v>158000</v>
      </c>
      <c r="J707" s="21"/>
    </row>
    <row r="708" spans="1:10" ht="21" x14ac:dyDescent="0.3">
      <c r="A708" s="11" t="s">
        <v>744</v>
      </c>
      <c r="B708" s="11" t="s">
        <v>745</v>
      </c>
      <c r="C708" s="8" t="s">
        <v>10</v>
      </c>
      <c r="D708" s="7">
        <v>46150</v>
      </c>
      <c r="E708" s="8" t="s">
        <v>10</v>
      </c>
      <c r="F708" s="8" t="s">
        <v>10</v>
      </c>
      <c r="G708" s="20" t="s">
        <v>552</v>
      </c>
      <c r="H708" s="9">
        <v>0</v>
      </c>
      <c r="I708" s="9">
        <v>150000</v>
      </c>
      <c r="J708" s="21"/>
    </row>
    <row r="709" spans="1:10" ht="21" x14ac:dyDescent="0.3">
      <c r="A709" s="11" t="s">
        <v>744</v>
      </c>
      <c r="B709" s="11" t="s">
        <v>745</v>
      </c>
      <c r="C709" s="6" t="s">
        <v>761</v>
      </c>
      <c r="D709" s="7">
        <v>46114</v>
      </c>
      <c r="E709" s="8" t="s">
        <v>12</v>
      </c>
      <c r="F709" s="8" t="s">
        <v>750</v>
      </c>
      <c r="G709" s="20" t="s">
        <v>632</v>
      </c>
      <c r="H709" s="9">
        <v>0</v>
      </c>
      <c r="I709" s="9">
        <v>0</v>
      </c>
      <c r="J709" s="21"/>
    </row>
    <row r="710" spans="1:10" ht="21" x14ac:dyDescent="0.3">
      <c r="A710" s="11" t="s">
        <v>744</v>
      </c>
      <c r="B710" s="11" t="s">
        <v>745</v>
      </c>
      <c r="C710" s="6" t="s">
        <v>761</v>
      </c>
      <c r="D710" s="7">
        <v>46114</v>
      </c>
      <c r="E710" s="8" t="s">
        <v>12</v>
      </c>
      <c r="F710" s="8" t="s">
        <v>750</v>
      </c>
      <c r="G710" s="20" t="s">
        <v>633</v>
      </c>
      <c r="H710" s="9">
        <v>0</v>
      </c>
      <c r="I710" s="9">
        <v>0</v>
      </c>
      <c r="J710" s="21"/>
    </row>
    <row r="711" spans="1:10" ht="42" x14ac:dyDescent="0.3">
      <c r="A711" s="11" t="s">
        <v>744</v>
      </c>
      <c r="B711" s="11" t="s">
        <v>745</v>
      </c>
      <c r="C711" s="6" t="s">
        <v>761</v>
      </c>
      <c r="D711" s="7">
        <v>46153</v>
      </c>
      <c r="E711" s="8" t="s">
        <v>591</v>
      </c>
      <c r="F711" s="8" t="s">
        <v>653</v>
      </c>
      <c r="G711" s="20" t="s">
        <v>673</v>
      </c>
      <c r="H711" s="9">
        <v>5450</v>
      </c>
      <c r="I711" s="9">
        <v>0</v>
      </c>
      <c r="J711" s="21"/>
    </row>
    <row r="712" spans="1:10" ht="21" x14ac:dyDescent="0.3">
      <c r="A712" s="11" t="s">
        <v>744</v>
      </c>
      <c r="B712" s="11" t="s">
        <v>745</v>
      </c>
      <c r="C712" s="6" t="s">
        <v>761</v>
      </c>
      <c r="D712" s="7">
        <v>46149</v>
      </c>
      <c r="E712" s="8" t="s">
        <v>591</v>
      </c>
      <c r="F712" s="8" t="s">
        <v>426</v>
      </c>
      <c r="G712" s="20" t="s">
        <v>619</v>
      </c>
      <c r="H712" s="9">
        <v>158000</v>
      </c>
      <c r="I712" s="9">
        <v>0</v>
      </c>
      <c r="J712" s="21"/>
    </row>
    <row r="713" spans="1:10" ht="21" x14ac:dyDescent="0.3">
      <c r="A713" s="11" t="s">
        <v>744</v>
      </c>
      <c r="B713" s="11" t="s">
        <v>745</v>
      </c>
      <c r="C713" s="6" t="s">
        <v>761</v>
      </c>
      <c r="D713" s="7">
        <v>46150</v>
      </c>
      <c r="E713" s="8" t="s">
        <v>591</v>
      </c>
      <c r="F713" s="8" t="s">
        <v>751</v>
      </c>
      <c r="G713" s="20" t="s">
        <v>686</v>
      </c>
      <c r="H713" s="9">
        <v>1500</v>
      </c>
      <c r="I713" s="9">
        <v>0</v>
      </c>
      <c r="J713" s="21"/>
    </row>
    <row r="714" spans="1:10" ht="21" x14ac:dyDescent="0.3">
      <c r="A714" s="11" t="s">
        <v>744</v>
      </c>
      <c r="B714" s="11" t="s">
        <v>745</v>
      </c>
      <c r="C714" s="6" t="s">
        <v>761</v>
      </c>
      <c r="D714" s="7">
        <v>46151</v>
      </c>
      <c r="E714" s="8" t="s">
        <v>591</v>
      </c>
      <c r="F714" s="8" t="s">
        <v>464</v>
      </c>
      <c r="G714" s="20" t="s">
        <v>687</v>
      </c>
      <c r="H714" s="9">
        <v>950</v>
      </c>
      <c r="I714" s="9">
        <v>0</v>
      </c>
      <c r="J714" s="21"/>
    </row>
    <row r="715" spans="1:10" ht="42" x14ac:dyDescent="0.3">
      <c r="A715" s="11" t="s">
        <v>744</v>
      </c>
      <c r="B715" s="11" t="s">
        <v>745</v>
      </c>
      <c r="C715" s="6" t="s">
        <v>761</v>
      </c>
      <c r="D715" s="7">
        <v>46152</v>
      </c>
      <c r="E715" s="8" t="s">
        <v>591</v>
      </c>
      <c r="F715" s="8" t="s">
        <v>415</v>
      </c>
      <c r="G715" s="20" t="s">
        <v>688</v>
      </c>
      <c r="H715" s="9">
        <v>31800</v>
      </c>
      <c r="I715" s="9">
        <v>0</v>
      </c>
      <c r="J715" s="21"/>
    </row>
    <row r="716" spans="1:10" ht="42" x14ac:dyDescent="0.3">
      <c r="A716" s="11" t="s">
        <v>744</v>
      </c>
      <c r="B716" s="11" t="s">
        <v>745</v>
      </c>
      <c r="C716" s="6" t="s">
        <v>761</v>
      </c>
      <c r="D716" s="7">
        <v>46153</v>
      </c>
      <c r="E716" s="8" t="s">
        <v>591</v>
      </c>
      <c r="F716" s="8" t="s">
        <v>653</v>
      </c>
      <c r="G716" s="20" t="s">
        <v>689</v>
      </c>
      <c r="H716" s="9">
        <v>5000</v>
      </c>
      <c r="I716" s="9">
        <v>0</v>
      </c>
      <c r="J716" s="21"/>
    </row>
    <row r="717" spans="1:10" ht="21" x14ac:dyDescent="0.3">
      <c r="A717" s="11" t="s">
        <v>744</v>
      </c>
      <c r="B717" s="11" t="s">
        <v>745</v>
      </c>
      <c r="C717" s="6" t="s">
        <v>761</v>
      </c>
      <c r="D717" s="7">
        <v>46161</v>
      </c>
      <c r="E717" s="8" t="s">
        <v>591</v>
      </c>
      <c r="F717" s="8" t="s">
        <v>415</v>
      </c>
      <c r="G717" s="20" t="s">
        <v>694</v>
      </c>
      <c r="H717" s="9">
        <v>23500</v>
      </c>
      <c r="I717" s="9">
        <v>0</v>
      </c>
      <c r="J717" s="21"/>
    </row>
    <row r="718" spans="1:10" ht="42" x14ac:dyDescent="0.3">
      <c r="A718" s="11" t="s">
        <v>744</v>
      </c>
      <c r="B718" s="11" t="s">
        <v>745</v>
      </c>
      <c r="C718" s="6" t="s">
        <v>761</v>
      </c>
      <c r="D718" s="7">
        <v>46164</v>
      </c>
      <c r="E718" s="8" t="s">
        <v>591</v>
      </c>
      <c r="F718" s="8" t="s">
        <v>717</v>
      </c>
      <c r="G718" s="20" t="s">
        <v>715</v>
      </c>
      <c r="H718" s="9">
        <v>6150</v>
      </c>
      <c r="I718" s="9">
        <v>0</v>
      </c>
      <c r="J718" s="21"/>
    </row>
    <row r="719" spans="1:10" ht="21" x14ac:dyDescent="0.3">
      <c r="A719" s="11" t="s">
        <v>744</v>
      </c>
      <c r="B719" s="11" t="s">
        <v>745</v>
      </c>
      <c r="C719" s="6" t="s">
        <v>761</v>
      </c>
      <c r="D719" s="7">
        <v>46164</v>
      </c>
      <c r="E719" s="8" t="s">
        <v>591</v>
      </c>
      <c r="F719" s="8" t="s">
        <v>94</v>
      </c>
      <c r="G719" s="20" t="s">
        <v>713</v>
      </c>
      <c r="H719" s="9">
        <v>15000</v>
      </c>
      <c r="I719" s="9">
        <v>0</v>
      </c>
      <c r="J719" s="21"/>
    </row>
    <row r="720" spans="1:10" ht="21" x14ac:dyDescent="0.3">
      <c r="A720" s="11" t="s">
        <v>744</v>
      </c>
      <c r="B720" s="11" t="s">
        <v>745</v>
      </c>
      <c r="C720" s="6" t="s">
        <v>761</v>
      </c>
      <c r="D720" s="7">
        <v>46164</v>
      </c>
      <c r="E720" s="8" t="s">
        <v>591</v>
      </c>
      <c r="F720" s="8" t="s">
        <v>414</v>
      </c>
      <c r="G720" s="20" t="s">
        <v>716</v>
      </c>
      <c r="H720" s="9">
        <v>47230</v>
      </c>
      <c r="I720" s="9">
        <v>0</v>
      </c>
      <c r="J720" s="21"/>
    </row>
    <row r="721" spans="1:10" ht="21" x14ac:dyDescent="0.3">
      <c r="A721" s="11" t="s">
        <v>744</v>
      </c>
      <c r="B721" s="11" t="s">
        <v>745</v>
      </c>
      <c r="C721" s="6" t="s">
        <v>761</v>
      </c>
      <c r="D721" s="7">
        <v>46164</v>
      </c>
      <c r="E721" s="8" t="s">
        <v>591</v>
      </c>
      <c r="F721" s="8" t="s">
        <v>582</v>
      </c>
      <c r="G721" s="20" t="s">
        <v>718</v>
      </c>
      <c r="H721" s="9">
        <v>300</v>
      </c>
      <c r="I721" s="9">
        <v>0</v>
      </c>
      <c r="J721" s="21"/>
    </row>
    <row r="722" spans="1:10" ht="21" x14ac:dyDescent="0.3">
      <c r="A722" s="11" t="s">
        <v>744</v>
      </c>
      <c r="B722" s="11" t="s">
        <v>745</v>
      </c>
      <c r="C722" s="6" t="s">
        <v>761</v>
      </c>
      <c r="D722" s="7">
        <v>46164</v>
      </c>
      <c r="E722" s="8" t="s">
        <v>591</v>
      </c>
      <c r="F722" s="8" t="s">
        <v>414</v>
      </c>
      <c r="G722" s="20" t="s">
        <v>714</v>
      </c>
      <c r="H722" s="9">
        <v>2370</v>
      </c>
      <c r="I722" s="9">
        <v>0</v>
      </c>
      <c r="J722" s="21"/>
    </row>
    <row r="723" spans="1:10" ht="21" x14ac:dyDescent="0.3">
      <c r="A723" s="11" t="s">
        <v>744</v>
      </c>
      <c r="B723" s="11" t="s">
        <v>746</v>
      </c>
      <c r="C723" s="8" t="s">
        <v>10</v>
      </c>
      <c r="D723" s="7">
        <v>46115</v>
      </c>
      <c r="E723" s="8" t="s">
        <v>10</v>
      </c>
      <c r="F723" s="8" t="s">
        <v>10</v>
      </c>
      <c r="G723" s="20" t="s">
        <v>482</v>
      </c>
      <c r="H723" s="9">
        <v>0</v>
      </c>
      <c r="I723" s="9">
        <v>1042200</v>
      </c>
      <c r="J723" s="21"/>
    </row>
    <row r="724" spans="1:10" ht="21" x14ac:dyDescent="0.3">
      <c r="A724" s="11" t="s">
        <v>744</v>
      </c>
      <c r="B724" s="11" t="s">
        <v>746</v>
      </c>
      <c r="C724" s="8" t="s">
        <v>10</v>
      </c>
      <c r="D724" s="7">
        <v>46122</v>
      </c>
      <c r="E724" s="8" t="s">
        <v>10</v>
      </c>
      <c r="F724" s="8" t="s">
        <v>10</v>
      </c>
      <c r="G724" s="20" t="s">
        <v>552</v>
      </c>
      <c r="H724" s="9">
        <v>0</v>
      </c>
      <c r="I724" s="9">
        <v>400000</v>
      </c>
      <c r="J724" s="21"/>
    </row>
    <row r="725" spans="1:10" ht="21" x14ac:dyDescent="0.3">
      <c r="A725" s="11" t="s">
        <v>744</v>
      </c>
      <c r="B725" s="11" t="s">
        <v>746</v>
      </c>
      <c r="C725" s="6" t="s">
        <v>761</v>
      </c>
      <c r="D725" s="7">
        <v>46122</v>
      </c>
      <c r="E725" s="8" t="s">
        <v>12</v>
      </c>
      <c r="F725" s="8" t="s">
        <v>750</v>
      </c>
      <c r="G725" s="20" t="s">
        <v>651</v>
      </c>
      <c r="H725" s="9">
        <v>0</v>
      </c>
      <c r="I725" s="9">
        <v>0</v>
      </c>
      <c r="J725" s="21"/>
    </row>
    <row r="726" spans="1:10" ht="21" x14ac:dyDescent="0.3">
      <c r="A726" s="11" t="s">
        <v>744</v>
      </c>
      <c r="B726" s="11" t="s">
        <v>746</v>
      </c>
      <c r="C726" s="6" t="s">
        <v>761</v>
      </c>
      <c r="D726" s="7">
        <v>46113</v>
      </c>
      <c r="E726" s="8" t="s">
        <v>484</v>
      </c>
      <c r="F726" s="8" t="s">
        <v>385</v>
      </c>
      <c r="G726" s="20" t="s">
        <v>482</v>
      </c>
      <c r="H726" s="9">
        <v>1042200</v>
      </c>
      <c r="I726" s="9">
        <v>0</v>
      </c>
      <c r="J726" s="21"/>
    </row>
    <row r="727" spans="1:10" ht="42" x14ac:dyDescent="0.3">
      <c r="A727" s="11" t="s">
        <v>744</v>
      </c>
      <c r="B727" s="11" t="s">
        <v>746</v>
      </c>
      <c r="C727" s="6" t="s">
        <v>761</v>
      </c>
      <c r="D727" s="7">
        <v>46113</v>
      </c>
      <c r="E727" s="8" t="s">
        <v>484</v>
      </c>
      <c r="F727" s="8" t="s">
        <v>414</v>
      </c>
      <c r="G727" s="20" t="s">
        <v>573</v>
      </c>
      <c r="H727" s="9">
        <v>385102</v>
      </c>
      <c r="I727" s="9">
        <v>0</v>
      </c>
      <c r="J727" s="21"/>
    </row>
    <row r="728" spans="1:10" ht="21" x14ac:dyDescent="0.3">
      <c r="A728" s="11" t="s">
        <v>744</v>
      </c>
      <c r="B728" s="11" t="s">
        <v>746</v>
      </c>
      <c r="C728" s="6" t="s">
        <v>761</v>
      </c>
      <c r="D728" s="7">
        <v>46127</v>
      </c>
      <c r="E728" s="8" t="s">
        <v>484</v>
      </c>
      <c r="F728" s="8" t="s">
        <v>414</v>
      </c>
      <c r="G728" s="20" t="s">
        <v>614</v>
      </c>
      <c r="H728" s="9">
        <v>40208</v>
      </c>
      <c r="I728" s="9">
        <v>0</v>
      </c>
      <c r="J728" s="21"/>
    </row>
    <row r="729" spans="1:10" ht="21" x14ac:dyDescent="0.3">
      <c r="A729" s="11" t="s">
        <v>744</v>
      </c>
      <c r="B729" s="11" t="s">
        <v>746</v>
      </c>
      <c r="C729" s="6" t="s">
        <v>761</v>
      </c>
      <c r="D729" s="7">
        <v>46113</v>
      </c>
      <c r="E729" s="8" t="s">
        <v>485</v>
      </c>
      <c r="F729" s="8" t="s">
        <v>485</v>
      </c>
      <c r="G729" s="20" t="s">
        <v>483</v>
      </c>
      <c r="H729" s="9">
        <v>5000</v>
      </c>
      <c r="I729" s="9">
        <v>0</v>
      </c>
      <c r="J729" s="21"/>
    </row>
    <row r="730" spans="1:10" ht="21" x14ac:dyDescent="0.3">
      <c r="A730" s="11" t="s">
        <v>744</v>
      </c>
      <c r="B730" s="11" t="s">
        <v>746</v>
      </c>
      <c r="C730" s="6" t="s">
        <v>761</v>
      </c>
      <c r="D730" s="7">
        <v>46114</v>
      </c>
      <c r="E730" s="8" t="s">
        <v>485</v>
      </c>
      <c r="F730" s="8" t="s">
        <v>485</v>
      </c>
      <c r="G730" s="20" t="s">
        <v>483</v>
      </c>
      <c r="H730" s="9">
        <v>0</v>
      </c>
      <c r="I730" s="9">
        <v>5000</v>
      </c>
      <c r="J730" s="21"/>
    </row>
    <row r="731" spans="1:10" ht="21" x14ac:dyDescent="0.3">
      <c r="A731" s="11" t="s">
        <v>747</v>
      </c>
      <c r="B731" s="11" t="s">
        <v>709</v>
      </c>
      <c r="C731" s="6" t="s">
        <v>761</v>
      </c>
      <c r="D731" s="7">
        <v>46165</v>
      </c>
      <c r="E731" s="8" t="s">
        <v>484</v>
      </c>
      <c r="F731" s="8" t="s">
        <v>450</v>
      </c>
      <c r="G731" s="20" t="s">
        <v>710</v>
      </c>
      <c r="H731" s="9">
        <v>7265</v>
      </c>
      <c r="I731" s="9">
        <v>0</v>
      </c>
      <c r="J731" s="21"/>
    </row>
    <row r="732" spans="1:10" ht="21" x14ac:dyDescent="0.3">
      <c r="A732" s="11" t="s">
        <v>747</v>
      </c>
      <c r="B732" s="11" t="s">
        <v>709</v>
      </c>
      <c r="C732" s="6" t="s">
        <v>761</v>
      </c>
      <c r="D732" s="7">
        <v>46166</v>
      </c>
      <c r="E732" s="8" t="s">
        <v>484</v>
      </c>
      <c r="F732" s="8" t="s">
        <v>385</v>
      </c>
      <c r="G732" s="20" t="s">
        <v>711</v>
      </c>
      <c r="H732" s="9">
        <v>10000</v>
      </c>
      <c r="I732" s="9">
        <v>0</v>
      </c>
      <c r="J732" s="21"/>
    </row>
    <row r="733" spans="1:10" ht="21" x14ac:dyDescent="0.3">
      <c r="A733" s="11" t="s">
        <v>747</v>
      </c>
      <c r="B733" s="11" t="s">
        <v>709</v>
      </c>
      <c r="C733" s="6" t="s">
        <v>761</v>
      </c>
      <c r="D733" s="7">
        <v>46166</v>
      </c>
      <c r="E733" s="8" t="s">
        <v>484</v>
      </c>
      <c r="F733" s="8" t="s">
        <v>385</v>
      </c>
      <c r="G733" s="20" t="s">
        <v>712</v>
      </c>
      <c r="H733" s="9">
        <v>1500</v>
      </c>
      <c r="I733" s="9">
        <v>0</v>
      </c>
      <c r="J733" s="21"/>
    </row>
    <row r="734" spans="1:10" ht="21" x14ac:dyDescent="0.3">
      <c r="A734" s="10" t="s">
        <v>602</v>
      </c>
      <c r="B734" s="10" t="s">
        <v>740</v>
      </c>
      <c r="C734" s="8" t="s">
        <v>10</v>
      </c>
      <c r="D734" s="7">
        <v>46137</v>
      </c>
      <c r="E734" s="8" t="s">
        <v>10</v>
      </c>
      <c r="F734" s="8" t="s">
        <v>10</v>
      </c>
      <c r="G734" s="20" t="s">
        <v>596</v>
      </c>
      <c r="H734" s="9">
        <v>0</v>
      </c>
      <c r="I734" s="9">
        <v>100000</v>
      </c>
      <c r="J734" s="21"/>
    </row>
    <row r="735" spans="1:10" ht="21" x14ac:dyDescent="0.3">
      <c r="A735" s="10" t="s">
        <v>602</v>
      </c>
      <c r="B735" s="10" t="s">
        <v>740</v>
      </c>
      <c r="C735" s="8" t="s">
        <v>10</v>
      </c>
      <c r="D735" s="7">
        <v>46138</v>
      </c>
      <c r="E735" s="8" t="s">
        <v>10</v>
      </c>
      <c r="F735" s="8" t="s">
        <v>10</v>
      </c>
      <c r="G735" s="20" t="s">
        <v>615</v>
      </c>
      <c r="H735" s="9">
        <v>0</v>
      </c>
      <c r="I735" s="9">
        <v>166800</v>
      </c>
      <c r="J735" s="21"/>
    </row>
    <row r="736" spans="1:10" ht="21" x14ac:dyDescent="0.3">
      <c r="A736" s="10" t="s">
        <v>602</v>
      </c>
      <c r="B736" s="10" t="s">
        <v>740</v>
      </c>
      <c r="C736" s="8" t="s">
        <v>10</v>
      </c>
      <c r="D736" s="7">
        <v>46145</v>
      </c>
      <c r="E736" s="8" t="s">
        <v>10</v>
      </c>
      <c r="F736" s="8" t="s">
        <v>10</v>
      </c>
      <c r="G736" s="20" t="s">
        <v>615</v>
      </c>
      <c r="H736" s="9">
        <v>0</v>
      </c>
      <c r="I736" s="9">
        <v>108200</v>
      </c>
      <c r="J736" s="21"/>
    </row>
    <row r="737" spans="1:10" ht="21" x14ac:dyDescent="0.3">
      <c r="A737" s="10" t="s">
        <v>602</v>
      </c>
      <c r="B737" s="10" t="s">
        <v>740</v>
      </c>
      <c r="C737" s="6" t="s">
        <v>761</v>
      </c>
      <c r="D737" s="7">
        <v>46133</v>
      </c>
      <c r="E737" s="8" t="s">
        <v>591</v>
      </c>
      <c r="F737" s="8" t="s">
        <v>546</v>
      </c>
      <c r="G737" s="20" t="s">
        <v>592</v>
      </c>
      <c r="H737" s="9">
        <v>50000</v>
      </c>
      <c r="I737" s="9">
        <v>0</v>
      </c>
      <c r="J737" s="21"/>
    </row>
    <row r="738" spans="1:10" ht="21" x14ac:dyDescent="0.3">
      <c r="A738" s="10" t="s">
        <v>602</v>
      </c>
      <c r="B738" s="10" t="s">
        <v>740</v>
      </c>
      <c r="C738" s="6" t="s">
        <v>761</v>
      </c>
      <c r="D738" s="7">
        <v>46157</v>
      </c>
      <c r="E738" s="8" t="s">
        <v>591</v>
      </c>
      <c r="F738" s="8" t="s">
        <v>546</v>
      </c>
      <c r="G738" s="20" t="s">
        <v>674</v>
      </c>
      <c r="H738" s="9">
        <v>158000</v>
      </c>
      <c r="I738" s="9">
        <v>0</v>
      </c>
      <c r="J738" s="21"/>
    </row>
    <row r="739" spans="1:10" ht="21" x14ac:dyDescent="0.3">
      <c r="A739" s="10" t="s">
        <v>602</v>
      </c>
      <c r="B739" s="10" t="s">
        <v>740</v>
      </c>
      <c r="C739" s="6" t="s">
        <v>761</v>
      </c>
      <c r="D739" s="7">
        <v>46137</v>
      </c>
      <c r="E739" s="8" t="s">
        <v>591</v>
      </c>
      <c r="F739" s="8" t="s">
        <v>594</v>
      </c>
      <c r="G739" s="20" t="s">
        <v>593</v>
      </c>
      <c r="H739" s="9">
        <v>40000</v>
      </c>
      <c r="I739" s="9">
        <v>0</v>
      </c>
      <c r="J739" s="21"/>
    </row>
    <row r="740" spans="1:10" ht="21" x14ac:dyDescent="0.3">
      <c r="A740" s="10" t="s">
        <v>602</v>
      </c>
      <c r="B740" s="10" t="s">
        <v>740</v>
      </c>
      <c r="C740" s="6" t="s">
        <v>761</v>
      </c>
      <c r="D740" s="7">
        <v>46137</v>
      </c>
      <c r="E740" s="8" t="s">
        <v>591</v>
      </c>
      <c r="F740" s="8" t="s">
        <v>594</v>
      </c>
      <c r="G740" s="20" t="s">
        <v>595</v>
      </c>
      <c r="H740" s="9">
        <v>100000</v>
      </c>
      <c r="I740" s="9">
        <v>0</v>
      </c>
      <c r="J740" s="21"/>
    </row>
  </sheetData>
  <pageMargins left="0.7" right="0.7" top="0.75" bottom="0.75" header="0.3" footer="0.3"/>
  <pageSetup scale="24" fitToHeight="0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F08AC-90A4-4A2C-BFD6-F8CA053FAECA}">
  <dimension ref="A1:C11"/>
  <sheetViews>
    <sheetView workbookViewId="0">
      <selection activeCell="B4" sqref="B3:B10"/>
    </sheetView>
  </sheetViews>
  <sheetFormatPr defaultRowHeight="14.4" x14ac:dyDescent="0.3"/>
  <cols>
    <col min="1" max="1" width="19.6640625" style="2" bestFit="1" customWidth="1"/>
    <col min="2" max="2" width="16.44140625" style="2" bestFit="1" customWidth="1"/>
    <col min="3" max="3" width="5.109375" style="2" bestFit="1" customWidth="1"/>
    <col min="4" max="6" width="15.5546875" style="2" bestFit="1" customWidth="1"/>
    <col min="7" max="7" width="10.5546875" style="2" bestFit="1" customWidth="1"/>
    <col min="8" max="16384" width="8.88671875" style="2"/>
  </cols>
  <sheetData>
    <row r="1" spans="1:3" x14ac:dyDescent="0.3">
      <c r="A1" s="5" t="s">
        <v>748</v>
      </c>
    </row>
    <row r="2" spans="1:3" x14ac:dyDescent="0.3">
      <c r="A2" s="5" t="s">
        <v>738</v>
      </c>
      <c r="B2" s="5" t="s">
        <v>739</v>
      </c>
      <c r="C2" s="2" t="s">
        <v>749</v>
      </c>
    </row>
    <row r="3" spans="1:3" x14ac:dyDescent="0.3">
      <c r="A3" s="2" t="s">
        <v>473</v>
      </c>
      <c r="B3" s="2" t="s">
        <v>740</v>
      </c>
      <c r="C3" s="23">
        <v>71</v>
      </c>
    </row>
    <row r="4" spans="1:3" x14ac:dyDescent="0.3">
      <c r="A4" s="2" t="s">
        <v>472</v>
      </c>
      <c r="B4" s="2" t="s">
        <v>740</v>
      </c>
      <c r="C4" s="23">
        <v>595</v>
      </c>
    </row>
    <row r="5" spans="1:3" x14ac:dyDescent="0.3">
      <c r="A5" s="2" t="s">
        <v>741</v>
      </c>
      <c r="B5" s="2" t="s">
        <v>742</v>
      </c>
      <c r="C5" s="23">
        <v>34</v>
      </c>
    </row>
    <row r="6" spans="1:3" x14ac:dyDescent="0.3">
      <c r="A6" s="2" t="s">
        <v>741</v>
      </c>
      <c r="B6" s="2" t="s">
        <v>743</v>
      </c>
      <c r="C6" s="23">
        <v>4</v>
      </c>
    </row>
    <row r="7" spans="1:3" x14ac:dyDescent="0.3">
      <c r="A7" s="2" t="s">
        <v>744</v>
      </c>
      <c r="B7" s="2" t="s">
        <v>745</v>
      </c>
      <c r="C7" s="23">
        <v>17</v>
      </c>
    </row>
    <row r="8" spans="1:3" x14ac:dyDescent="0.3">
      <c r="A8" s="2" t="s">
        <v>744</v>
      </c>
      <c r="B8" s="2" t="s">
        <v>746</v>
      </c>
      <c r="C8" s="23">
        <v>8</v>
      </c>
    </row>
    <row r="9" spans="1:3" x14ac:dyDescent="0.3">
      <c r="A9" s="2" t="s">
        <v>747</v>
      </c>
      <c r="B9" s="2" t="s">
        <v>709</v>
      </c>
      <c r="C9" s="23">
        <v>3</v>
      </c>
    </row>
    <row r="10" spans="1:3" x14ac:dyDescent="0.3">
      <c r="A10" s="2" t="s">
        <v>602</v>
      </c>
      <c r="B10" s="2" t="s">
        <v>740</v>
      </c>
      <c r="C10" s="23">
        <v>7</v>
      </c>
    </row>
    <row r="11" spans="1:3" x14ac:dyDescent="0.3">
      <c r="A11" s="2" t="s">
        <v>343</v>
      </c>
      <c r="C11" s="23">
        <v>739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C80BD-384B-45DC-AA93-F109218515AE}">
  <dimension ref="A1:C57"/>
  <sheetViews>
    <sheetView tabSelected="1" topLeftCell="A31" workbookViewId="0">
      <selection activeCell="K42" sqref="K42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5.109375" bestFit="1" customWidth="1"/>
  </cols>
  <sheetData>
    <row r="1" spans="1:3" x14ac:dyDescent="0.3">
      <c r="A1" s="4" t="s">
        <v>748</v>
      </c>
    </row>
    <row r="2" spans="1:3" x14ac:dyDescent="0.3">
      <c r="A2" s="4" t="s">
        <v>386</v>
      </c>
      <c r="B2" s="4" t="s">
        <v>393</v>
      </c>
      <c r="C2" t="s">
        <v>749</v>
      </c>
    </row>
    <row r="3" spans="1:3" x14ac:dyDescent="0.3">
      <c r="A3" t="s">
        <v>485</v>
      </c>
      <c r="B3" t="s">
        <v>485</v>
      </c>
      <c r="C3" s="22">
        <v>2</v>
      </c>
    </row>
    <row r="4" spans="1:3" x14ac:dyDescent="0.3">
      <c r="A4" t="s">
        <v>448</v>
      </c>
      <c r="B4" t="s">
        <v>485</v>
      </c>
      <c r="C4" s="22">
        <v>4</v>
      </c>
    </row>
    <row r="5" spans="1:3" x14ac:dyDescent="0.3">
      <c r="A5" t="s">
        <v>12</v>
      </c>
      <c r="B5" t="s">
        <v>750</v>
      </c>
      <c r="C5" s="22">
        <v>10</v>
      </c>
    </row>
    <row r="6" spans="1:3" x14ac:dyDescent="0.3">
      <c r="A6" t="s">
        <v>484</v>
      </c>
      <c r="B6" t="s">
        <v>385</v>
      </c>
      <c r="C6" s="22">
        <v>3</v>
      </c>
    </row>
    <row r="7" spans="1:3" x14ac:dyDescent="0.3">
      <c r="A7" t="s">
        <v>484</v>
      </c>
      <c r="B7" t="s">
        <v>414</v>
      </c>
      <c r="C7" s="22">
        <v>2</v>
      </c>
    </row>
    <row r="8" spans="1:3" x14ac:dyDescent="0.3">
      <c r="A8" t="s">
        <v>484</v>
      </c>
      <c r="B8" t="s">
        <v>450</v>
      </c>
      <c r="C8" s="22">
        <v>1</v>
      </c>
    </row>
    <row r="9" spans="1:3" x14ac:dyDescent="0.3">
      <c r="A9" t="s">
        <v>251</v>
      </c>
      <c r="B9" t="s">
        <v>727</v>
      </c>
      <c r="C9" s="22">
        <v>90</v>
      </c>
    </row>
    <row r="10" spans="1:3" x14ac:dyDescent="0.3">
      <c r="A10" t="s">
        <v>251</v>
      </c>
      <c r="B10" t="s">
        <v>385</v>
      </c>
      <c r="C10" s="22">
        <v>5</v>
      </c>
    </row>
    <row r="11" spans="1:3" x14ac:dyDescent="0.3">
      <c r="A11" t="s">
        <v>251</v>
      </c>
      <c r="B11" t="s">
        <v>757</v>
      </c>
      <c r="C11" s="22">
        <v>9</v>
      </c>
    </row>
    <row r="12" spans="1:3" x14ac:dyDescent="0.3">
      <c r="A12" t="s">
        <v>591</v>
      </c>
      <c r="B12" t="s">
        <v>582</v>
      </c>
      <c r="C12" s="22">
        <v>8</v>
      </c>
    </row>
    <row r="13" spans="1:3" x14ac:dyDescent="0.3">
      <c r="A13" t="s">
        <v>591</v>
      </c>
      <c r="B13" t="s">
        <v>479</v>
      </c>
      <c r="C13" s="22">
        <v>1</v>
      </c>
    </row>
    <row r="14" spans="1:3" x14ac:dyDescent="0.3">
      <c r="A14" t="s">
        <v>591</v>
      </c>
      <c r="B14" t="s">
        <v>426</v>
      </c>
      <c r="C14" s="22">
        <v>26</v>
      </c>
    </row>
    <row r="15" spans="1:3" x14ac:dyDescent="0.3">
      <c r="A15" t="s">
        <v>591</v>
      </c>
      <c r="B15" t="s">
        <v>652</v>
      </c>
      <c r="C15" s="22">
        <v>4</v>
      </c>
    </row>
    <row r="16" spans="1:3" x14ac:dyDescent="0.3">
      <c r="A16" t="s">
        <v>591</v>
      </c>
      <c r="B16" t="s">
        <v>539</v>
      </c>
      <c r="C16" s="22">
        <v>6</v>
      </c>
    </row>
    <row r="17" spans="1:3" x14ac:dyDescent="0.3">
      <c r="A17" t="s">
        <v>591</v>
      </c>
      <c r="B17" t="s">
        <v>165</v>
      </c>
      <c r="C17" s="22">
        <v>3</v>
      </c>
    </row>
    <row r="18" spans="1:3" x14ac:dyDescent="0.3">
      <c r="A18" t="s">
        <v>591</v>
      </c>
      <c r="B18" t="s">
        <v>545</v>
      </c>
      <c r="C18" s="22">
        <v>2</v>
      </c>
    </row>
    <row r="19" spans="1:3" x14ac:dyDescent="0.3">
      <c r="A19" t="s">
        <v>591</v>
      </c>
      <c r="B19" t="s">
        <v>727</v>
      </c>
      <c r="C19" s="22">
        <v>71</v>
      </c>
    </row>
    <row r="20" spans="1:3" x14ac:dyDescent="0.3">
      <c r="A20" t="s">
        <v>591</v>
      </c>
      <c r="B20" t="s">
        <v>146</v>
      </c>
      <c r="C20" s="22">
        <v>3</v>
      </c>
    </row>
    <row r="21" spans="1:3" x14ac:dyDescent="0.3">
      <c r="A21" t="s">
        <v>591</v>
      </c>
      <c r="B21" t="s">
        <v>149</v>
      </c>
      <c r="C21" s="22">
        <v>8</v>
      </c>
    </row>
    <row r="22" spans="1:3" x14ac:dyDescent="0.3">
      <c r="A22" t="s">
        <v>591</v>
      </c>
      <c r="B22" t="s">
        <v>653</v>
      </c>
      <c r="C22" s="22">
        <v>31</v>
      </c>
    </row>
    <row r="23" spans="1:3" x14ac:dyDescent="0.3">
      <c r="A23" t="s">
        <v>591</v>
      </c>
      <c r="B23" t="s">
        <v>113</v>
      </c>
      <c r="C23" s="22">
        <v>11</v>
      </c>
    </row>
    <row r="24" spans="1:3" x14ac:dyDescent="0.3">
      <c r="A24" t="s">
        <v>591</v>
      </c>
      <c r="B24" t="s">
        <v>195</v>
      </c>
      <c r="C24" s="22">
        <v>16</v>
      </c>
    </row>
    <row r="25" spans="1:3" x14ac:dyDescent="0.3">
      <c r="A25" t="s">
        <v>591</v>
      </c>
      <c r="B25" t="s">
        <v>385</v>
      </c>
      <c r="C25" s="22">
        <v>14</v>
      </c>
    </row>
    <row r="26" spans="1:3" x14ac:dyDescent="0.3">
      <c r="A26" t="s">
        <v>591</v>
      </c>
      <c r="B26" t="s">
        <v>446</v>
      </c>
      <c r="C26" s="22">
        <v>6</v>
      </c>
    </row>
    <row r="27" spans="1:3" x14ac:dyDescent="0.3">
      <c r="A27" t="s">
        <v>591</v>
      </c>
      <c r="B27" t="s">
        <v>635</v>
      </c>
      <c r="C27" s="22">
        <v>17</v>
      </c>
    </row>
    <row r="28" spans="1:3" x14ac:dyDescent="0.3">
      <c r="A28" t="s">
        <v>591</v>
      </c>
      <c r="B28" t="s">
        <v>50</v>
      </c>
      <c r="C28" s="22">
        <v>16</v>
      </c>
    </row>
    <row r="29" spans="1:3" x14ac:dyDescent="0.3">
      <c r="A29" t="s">
        <v>591</v>
      </c>
      <c r="B29" t="s">
        <v>415</v>
      </c>
      <c r="C29" s="22">
        <v>6</v>
      </c>
    </row>
    <row r="30" spans="1:3" x14ac:dyDescent="0.3">
      <c r="A30" t="s">
        <v>591</v>
      </c>
      <c r="B30" t="s">
        <v>59</v>
      </c>
      <c r="C30" s="22">
        <v>7</v>
      </c>
    </row>
    <row r="31" spans="1:3" x14ac:dyDescent="0.3">
      <c r="A31" t="s">
        <v>591</v>
      </c>
      <c r="B31" t="s">
        <v>621</v>
      </c>
      <c r="C31" s="22">
        <v>1</v>
      </c>
    </row>
    <row r="32" spans="1:3" x14ac:dyDescent="0.3">
      <c r="A32" t="s">
        <v>591</v>
      </c>
      <c r="B32" t="s">
        <v>414</v>
      </c>
      <c r="C32" s="22">
        <v>30</v>
      </c>
    </row>
    <row r="33" spans="1:3" x14ac:dyDescent="0.3">
      <c r="A33" t="s">
        <v>591</v>
      </c>
      <c r="B33" t="s">
        <v>94</v>
      </c>
      <c r="C33" s="22">
        <v>24</v>
      </c>
    </row>
    <row r="34" spans="1:3" x14ac:dyDescent="0.3">
      <c r="A34" t="s">
        <v>591</v>
      </c>
      <c r="B34" t="s">
        <v>725</v>
      </c>
      <c r="C34" s="22">
        <v>2</v>
      </c>
    </row>
    <row r="35" spans="1:3" x14ac:dyDescent="0.3">
      <c r="A35" t="s">
        <v>591</v>
      </c>
      <c r="B35" t="s">
        <v>465</v>
      </c>
      <c r="C35" s="22">
        <v>27</v>
      </c>
    </row>
    <row r="36" spans="1:3" x14ac:dyDescent="0.3">
      <c r="A36" t="s">
        <v>591</v>
      </c>
      <c r="B36" t="s">
        <v>438</v>
      </c>
      <c r="C36" s="22">
        <v>29</v>
      </c>
    </row>
    <row r="37" spans="1:3" x14ac:dyDescent="0.3">
      <c r="A37" t="s">
        <v>591</v>
      </c>
      <c r="B37" t="s">
        <v>546</v>
      </c>
      <c r="C37" s="22">
        <v>6</v>
      </c>
    </row>
    <row r="38" spans="1:3" x14ac:dyDescent="0.3">
      <c r="A38" t="s">
        <v>591</v>
      </c>
      <c r="B38" t="s">
        <v>717</v>
      </c>
      <c r="C38" s="22">
        <v>20</v>
      </c>
    </row>
    <row r="39" spans="1:3" x14ac:dyDescent="0.3">
      <c r="A39" t="s">
        <v>591</v>
      </c>
      <c r="B39" t="s">
        <v>450</v>
      </c>
      <c r="C39" s="22">
        <v>12</v>
      </c>
    </row>
    <row r="40" spans="1:3" x14ac:dyDescent="0.3">
      <c r="A40" t="s">
        <v>591</v>
      </c>
      <c r="B40" t="s">
        <v>437</v>
      </c>
      <c r="C40" s="22">
        <v>5</v>
      </c>
    </row>
    <row r="41" spans="1:3" x14ac:dyDescent="0.3">
      <c r="A41" t="s">
        <v>591</v>
      </c>
      <c r="B41" t="s">
        <v>647</v>
      </c>
      <c r="C41" s="22">
        <v>6</v>
      </c>
    </row>
    <row r="42" spans="1:3" x14ac:dyDescent="0.3">
      <c r="A42" t="s">
        <v>591</v>
      </c>
      <c r="B42" t="s">
        <v>516</v>
      </c>
      <c r="C42" s="22">
        <v>2</v>
      </c>
    </row>
    <row r="43" spans="1:3" x14ac:dyDescent="0.3">
      <c r="A43" t="s">
        <v>591</v>
      </c>
      <c r="B43" t="s">
        <v>478</v>
      </c>
      <c r="C43" s="22">
        <v>7</v>
      </c>
    </row>
    <row r="44" spans="1:3" x14ac:dyDescent="0.3">
      <c r="A44" t="s">
        <v>591</v>
      </c>
      <c r="B44" t="s">
        <v>25</v>
      </c>
      <c r="C44" s="22">
        <v>12</v>
      </c>
    </row>
    <row r="45" spans="1:3" x14ac:dyDescent="0.3">
      <c r="A45" t="s">
        <v>591</v>
      </c>
      <c r="B45" t="s">
        <v>594</v>
      </c>
      <c r="C45" s="22">
        <v>2</v>
      </c>
    </row>
    <row r="46" spans="1:3" x14ac:dyDescent="0.3">
      <c r="A46" t="s">
        <v>591</v>
      </c>
      <c r="B46" t="s">
        <v>523</v>
      </c>
      <c r="C46" s="22">
        <v>6</v>
      </c>
    </row>
    <row r="47" spans="1:3" x14ac:dyDescent="0.3">
      <c r="A47" t="s">
        <v>591</v>
      </c>
      <c r="B47" t="s">
        <v>532</v>
      </c>
      <c r="C47" s="22">
        <v>1</v>
      </c>
    </row>
    <row r="48" spans="1:3" x14ac:dyDescent="0.3">
      <c r="A48" t="s">
        <v>591</v>
      </c>
      <c r="B48" t="s">
        <v>464</v>
      </c>
      <c r="C48" s="22">
        <v>40</v>
      </c>
    </row>
    <row r="49" spans="1:3" x14ac:dyDescent="0.3">
      <c r="A49" t="s">
        <v>591</v>
      </c>
      <c r="B49" t="s">
        <v>751</v>
      </c>
      <c r="C49" s="22">
        <v>18</v>
      </c>
    </row>
    <row r="50" spans="1:3" x14ac:dyDescent="0.3">
      <c r="A50" t="s">
        <v>591</v>
      </c>
      <c r="B50" t="s">
        <v>752</v>
      </c>
      <c r="C50" s="22">
        <v>18</v>
      </c>
    </row>
    <row r="51" spans="1:3" x14ac:dyDescent="0.3">
      <c r="A51" t="s">
        <v>591</v>
      </c>
      <c r="B51" t="s">
        <v>753</v>
      </c>
      <c r="C51" s="22">
        <v>6</v>
      </c>
    </row>
    <row r="52" spans="1:3" x14ac:dyDescent="0.3">
      <c r="A52" t="s">
        <v>591</v>
      </c>
      <c r="B52" t="s">
        <v>754</v>
      </c>
      <c r="C52" s="22">
        <v>16</v>
      </c>
    </row>
    <row r="53" spans="1:3" x14ac:dyDescent="0.3">
      <c r="A53" t="s">
        <v>591</v>
      </c>
      <c r="B53" t="s">
        <v>755</v>
      </c>
      <c r="C53" s="22">
        <v>4</v>
      </c>
    </row>
    <row r="54" spans="1:3" x14ac:dyDescent="0.3">
      <c r="A54" t="s">
        <v>591</v>
      </c>
      <c r="B54" t="s">
        <v>756</v>
      </c>
      <c r="C54" s="22">
        <v>2</v>
      </c>
    </row>
    <row r="55" spans="1:3" x14ac:dyDescent="0.3">
      <c r="A55" t="s">
        <v>591</v>
      </c>
      <c r="B55" t="s">
        <v>758</v>
      </c>
      <c r="C55" s="22">
        <v>1</v>
      </c>
    </row>
    <row r="56" spans="1:3" x14ac:dyDescent="0.3">
      <c r="A56" t="s">
        <v>591</v>
      </c>
      <c r="B56" t="s">
        <v>759</v>
      </c>
      <c r="C56" s="22">
        <v>3</v>
      </c>
    </row>
    <row r="57" spans="1:3" x14ac:dyDescent="0.3">
      <c r="A57" t="s">
        <v>343</v>
      </c>
      <c r="C57" s="22">
        <v>682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العملاء و المشاريع</vt:lpstr>
      <vt:lpstr>الاقسام والبنود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sae0218- ساره</dc:creator>
  <cp:lastModifiedBy>Ahmed Gendy</cp:lastModifiedBy>
  <cp:lastPrinted>2026-06-01T10:09:25Z</cp:lastPrinted>
  <dcterms:created xsi:type="dcterms:W3CDTF">2026-02-17T10:26:03Z</dcterms:created>
  <dcterms:modified xsi:type="dcterms:W3CDTF">2026-06-08T08:52:29Z</dcterms:modified>
</cp:coreProperties>
</file>